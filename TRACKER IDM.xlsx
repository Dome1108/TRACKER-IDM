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omenica.villalva.01\Downloads\"/>
    </mc:Choice>
  </mc:AlternateContent>
  <xr:revisionPtr revIDLastSave="0" documentId="13_ncr:1_{E2F1CA1F-6074-4E84-8436-1613975ACDAD}" xr6:coauthVersionLast="47" xr6:coauthVersionMax="47" xr10:uidLastSave="{00000000-0000-0000-0000-000000000000}"/>
  <bookViews>
    <workbookView xWindow="-110" yWindow="-110" windowWidth="25820" windowHeight="15500" xr2:uid="{6D1496F6-952A-45C4-9276-C735DD240041}"/>
  </bookViews>
  <sheets>
    <sheet name="BASE" sheetId="1" r:id="rId1"/>
    <sheet name="Listas" sheetId="4" r:id="rId2"/>
    <sheet name="TD" sheetId="2" state="hidden" r:id="rId3"/>
    <sheet name="IDM" sheetId="3" state="hidden" r:id="rId4"/>
  </sheets>
  <definedNames>
    <definedName name="_xlnm._FilterDatabase" localSheetId="0" hidden="1">BASE!$A$1:$J$67</definedName>
    <definedName name="SegmentaciónDeDatos_TIPO1">#N/A</definedName>
  </definedNames>
  <calcPr calcId="191029"/>
  <pivotCaches>
    <pivotCache cacheId="0" r:id="rId5"/>
    <pivotCache cacheId="1" r:id="rId6"/>
    <pivotCache cacheId="2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3" l="1"/>
  <c r="E17" i="3"/>
  <c r="Q17" i="3"/>
  <c r="A17" i="3"/>
  <c r="Q14" i="3"/>
  <c r="M14" i="3"/>
  <c r="I14" i="3"/>
  <c r="E14" i="3"/>
  <c r="A14" i="3"/>
  <c r="I5" i="3"/>
  <c r="C5" i="3"/>
</calcChain>
</file>

<file path=xl/sharedStrings.xml><?xml version="1.0" encoding="utf-8"?>
<sst xmlns="http://schemas.openxmlformats.org/spreadsheetml/2006/main" count="1341" uniqueCount="319">
  <si>
    <t>AÑO</t>
  </si>
  <si>
    <t>PROYECTO</t>
  </si>
  <si>
    <t>DESCRIPCIÓN</t>
  </si>
  <si>
    <t>ENCARGADO</t>
  </si>
  <si>
    <t>EQUIPO DE SOPORTE</t>
  </si>
  <si>
    <t>Tendencias Ingeniería Civil</t>
  </si>
  <si>
    <t>Tendencias Marketing de Espacios Comerciales</t>
  </si>
  <si>
    <t>Tendencias Doctorado en Innovación</t>
  </si>
  <si>
    <t>Tendencias Maestría en Ciencias de la Construcción en Arquitectura</t>
  </si>
  <si>
    <t>Tendencias EDCO Trading, Manejo de Divisas y Forex</t>
  </si>
  <si>
    <t>Tendencias EDCO Preparación Física y Nutrición Deportiva</t>
  </si>
  <si>
    <t>Tendencias EDCO Ingles para Medicos</t>
  </si>
  <si>
    <t>Tendencias EDCO Biotecnología Aplicado a la Agricultura</t>
  </si>
  <si>
    <t>Tendencias Bachillerato y Licenciatura en Criminología</t>
  </si>
  <si>
    <t>ESTADO</t>
  </si>
  <si>
    <t>% COMPLETADO</t>
  </si>
  <si>
    <t>Estudio de Viabilidad</t>
  </si>
  <si>
    <t>Equipo</t>
  </si>
  <si>
    <t>Soporte</t>
  </si>
  <si>
    <t>Dillan</t>
  </si>
  <si>
    <t>Dome</t>
  </si>
  <si>
    <t>Andrei</t>
  </si>
  <si>
    <t>David</t>
  </si>
  <si>
    <t>Martin</t>
  </si>
  <si>
    <t>Dillan/Dome</t>
  </si>
  <si>
    <t>Dillan/Andrei</t>
  </si>
  <si>
    <t>Dome/Andrei</t>
  </si>
  <si>
    <t>Estado</t>
  </si>
  <si>
    <t>%Completado</t>
  </si>
  <si>
    <t>Prioridad</t>
  </si>
  <si>
    <t>En proceso</t>
  </si>
  <si>
    <t>Planificado</t>
  </si>
  <si>
    <t>Alta</t>
  </si>
  <si>
    <t>Baja</t>
  </si>
  <si>
    <t>Media</t>
  </si>
  <si>
    <t>OPINA Estudiantes</t>
  </si>
  <si>
    <t>Pasantes</t>
  </si>
  <si>
    <t>Pasantes/Dillan</t>
  </si>
  <si>
    <t>Completo</t>
  </si>
  <si>
    <t>Stop</t>
  </si>
  <si>
    <t>Tipo</t>
  </si>
  <si>
    <t>Solicitud Interna</t>
  </si>
  <si>
    <t>Estudio Recurrente</t>
  </si>
  <si>
    <t>Iniciativa</t>
  </si>
  <si>
    <t>Social Pulse</t>
  </si>
  <si>
    <t>Marketshare</t>
  </si>
  <si>
    <t>Alumnos Nuevos</t>
  </si>
  <si>
    <t>Mi Primera Experiencia</t>
  </si>
  <si>
    <t>No Documentados</t>
  </si>
  <si>
    <t>Tracking de Marca</t>
  </si>
  <si>
    <t>BC Ingeniería Civil</t>
  </si>
  <si>
    <t>BC Clubs</t>
  </si>
  <si>
    <t>BC Social Pulse</t>
  </si>
  <si>
    <t>OPINA Costa Rica</t>
  </si>
  <si>
    <t>BC Medicina Propedeutico</t>
  </si>
  <si>
    <t>BC Optativas Salud</t>
  </si>
  <si>
    <t>Cualitativo Ingenierías</t>
  </si>
  <si>
    <t>Encuesta Medicina/Derecho</t>
  </si>
  <si>
    <t>Simulación Programación Académica Salud/Medicina</t>
  </si>
  <si>
    <t>Post Mortem</t>
  </si>
  <si>
    <t>Marketshare derecho</t>
  </si>
  <si>
    <t>Inv de Mercado Global Business Management Cuantitativo y Cualitativo</t>
  </si>
  <si>
    <t>Competencia Precios</t>
  </si>
  <si>
    <t>Automatización de Udemy</t>
  </si>
  <si>
    <t>Empleabilidad</t>
  </si>
  <si>
    <t>Dataverso</t>
  </si>
  <si>
    <t>Encuesta de Satisfacción Programación académica</t>
  </si>
  <si>
    <t>Encuesta Docentes UDLA para la vida</t>
  </si>
  <si>
    <t>UDEMY CR</t>
  </si>
  <si>
    <t>Encuestas electivas NODO</t>
  </si>
  <si>
    <t>OSLO</t>
  </si>
  <si>
    <t>AOV CR</t>
  </si>
  <si>
    <t>PPT Ciencias de la Salud</t>
  </si>
  <si>
    <t>BC Veterinaria</t>
  </si>
  <si>
    <t>Análisis de Mercado Enfermería</t>
  </si>
  <si>
    <t>Expansión Comercial para Medicina</t>
  </si>
  <si>
    <t>Competencias Maestria en Vet</t>
  </si>
  <si>
    <t>BC Tracking de Marca y Cliente Fantasma</t>
  </si>
  <si>
    <t>Hepatología Inv de Mercados</t>
  </si>
  <si>
    <t>Inv de Mercados Doctorado en Administración</t>
  </si>
  <si>
    <t>Inv de Mercados Maestria en Estrategia Liderazgo e Innovación en el sector electrico</t>
  </si>
  <si>
    <t>Investigación de Mercados</t>
  </si>
  <si>
    <t>Tendencias en Anestesiología ginecobstetricia</t>
  </si>
  <si>
    <t>Tendencoas cirugia oncológica</t>
  </si>
  <si>
    <t>Tendencias Anestecia pediatrica</t>
  </si>
  <si>
    <t>Tendencias Agronegocios</t>
  </si>
  <si>
    <t>Tendencias Maestría en Educación</t>
  </si>
  <si>
    <t>Tendencias Maestria en Educación enfasis en Administración Educativa</t>
  </si>
  <si>
    <t>Tendencias Maestria en Educación enfasis en Curriculum</t>
  </si>
  <si>
    <t>Tendencias Maestría en Educación enfasis en tecnología educativa</t>
  </si>
  <si>
    <t>Tendencias Maestría en Educación enfasis innovación educativa</t>
  </si>
  <si>
    <t>Tendencias Maestría en Educación enfasis evaluación educativa</t>
  </si>
  <si>
    <t>Tendencias Maestría en Educación enfasis Andragogia</t>
  </si>
  <si>
    <t>Tendencias Maestría en Educación enfasis docencia</t>
  </si>
  <si>
    <t>Tendencia Maestría en Sostenibilidad y Cambio climatico</t>
  </si>
  <si>
    <t>Tendencias cambio de Nombre Comunicación Politica</t>
  </si>
  <si>
    <t>Tendencias Maestria en Diseño Urbano</t>
  </si>
  <si>
    <t>Tendencias Sistemas Integrados de Calidad</t>
  </si>
  <si>
    <t>Tendencias</t>
  </si>
  <si>
    <t>Pandora</t>
  </si>
  <si>
    <t>Investigación Cualitativa</t>
  </si>
  <si>
    <t>BC Sinergía</t>
  </si>
  <si>
    <t>BC Fundaulatina</t>
  </si>
  <si>
    <t>BC Preuniversitario Medicina</t>
  </si>
  <si>
    <t>Proformas de competencia Biomédica / Electromecánica / Mecánica</t>
  </si>
  <si>
    <t>Mi Primera Experiencia 25.10</t>
  </si>
  <si>
    <t>Precios Ingeniería Electromedicina</t>
  </si>
  <si>
    <t>Precios Bachillerato En Gastronomía</t>
  </si>
  <si>
    <t>Precios Diplomado En Gastronomía</t>
  </si>
  <si>
    <t>Precios Bachillerato y Licenciatura En Economía</t>
  </si>
  <si>
    <t>Precios Bachillerato y Licenciatura En La Enseñanza Del Ingles</t>
  </si>
  <si>
    <t>Precios Licenciatura En Psicología</t>
  </si>
  <si>
    <t>Precios Bachillerato En Periodismo</t>
  </si>
  <si>
    <t>Precios Bachillerato y Licenciatura En Trabajo Social</t>
  </si>
  <si>
    <t>Precios Bachillerato En Preescolar Bilingüe</t>
  </si>
  <si>
    <t>Precios Licenciatura En Ingeniería Civil</t>
  </si>
  <si>
    <t>Precios Bachillerato y Licenciatura Ingeniería Industrial</t>
  </si>
  <si>
    <t>Precios Bachillerato Administración De Negocios</t>
  </si>
  <si>
    <t>Precios Enfasis Industrial</t>
  </si>
  <si>
    <t>Levantamiento de Precios</t>
  </si>
  <si>
    <t>Estudio Mixto</t>
  </si>
  <si>
    <t>TIPO</t>
  </si>
  <si>
    <t>Etiquetas de fila</t>
  </si>
  <si>
    <t>Total general</t>
  </si>
  <si>
    <t>Cuenta de TIPO</t>
  </si>
  <si>
    <t>Pruebas de habilidades y tecnicas</t>
  </si>
  <si>
    <t>Cuenta de ENCARGADO</t>
  </si>
  <si>
    <t>Cuenta de EQUIPO DE SOPORTE</t>
  </si>
  <si>
    <t>Cuenta de ESTADO</t>
  </si>
  <si>
    <t>TRACKER INVESTIGACIÓN DE MERCADOS</t>
  </si>
  <si>
    <t>Total Proyectos</t>
  </si>
  <si>
    <t>Proyectos Completos</t>
  </si>
  <si>
    <t>Total de Proyectos</t>
  </si>
  <si>
    <t>(Varios elementos)</t>
  </si>
  <si>
    <t>Cuenta de PROYECTO</t>
  </si>
  <si>
    <t>Top de Pendientes</t>
  </si>
  <si>
    <t>Inv de Mercados Medicina Interna</t>
  </si>
  <si>
    <t>Inv de Mercados Especialización en Patología</t>
  </si>
  <si>
    <t xml:space="preserve">Inv de Mercados Maestría en Sostenibilidad </t>
  </si>
  <si>
    <t>Clasificación de Proyectos</t>
  </si>
  <si>
    <t>Modelo de supervivencia</t>
  </si>
  <si>
    <t>Post Mortem FICA</t>
  </si>
  <si>
    <t>Post Mortem Gastronomía</t>
  </si>
  <si>
    <t>Homologación Market Share y Precios</t>
  </si>
  <si>
    <t>Track de noticias</t>
  </si>
  <si>
    <t>APIS GOOGLE</t>
  </si>
  <si>
    <t>Heatmap Ubi</t>
  </si>
  <si>
    <t>Search Derecho</t>
  </si>
  <si>
    <t>IDM Agronegocios</t>
  </si>
  <si>
    <t xml:space="preserve">Flujo de encuestas empleabilidad </t>
  </si>
  <si>
    <t>Walkout</t>
  </si>
  <si>
    <t>Pasar MS y Precios a Dashboard</t>
  </si>
  <si>
    <t>Focus Derecho</t>
  </si>
  <si>
    <t>MINI PROYECTO</t>
  </si>
  <si>
    <t>MarketShare+Precios</t>
  </si>
  <si>
    <t>Post Mortem Mercado</t>
  </si>
  <si>
    <t>Business Cases</t>
  </si>
  <si>
    <t>OPINA</t>
  </si>
  <si>
    <t>Proforma</t>
  </si>
  <si>
    <t>DATAVERSO</t>
  </si>
  <si>
    <t>NO DOCUMENTADOS</t>
  </si>
  <si>
    <t>ALUMNOS NUEVOS</t>
  </si>
  <si>
    <t>TRACKING DE MARCA</t>
  </si>
  <si>
    <t>EMPLEABILIDAD</t>
  </si>
  <si>
    <t>BUYER PERSONA</t>
  </si>
  <si>
    <t>INICIATIVA</t>
  </si>
  <si>
    <t>AUTOMATIZACIONES</t>
  </si>
  <si>
    <t>Requerimientos</t>
  </si>
  <si>
    <t>Cuenta de MINI PROYECTO</t>
  </si>
  <si>
    <t>Walkout Cr</t>
  </si>
  <si>
    <t>Localización Hospitales Medicina</t>
  </si>
  <si>
    <t>Focus Desertores Derecho</t>
  </si>
  <si>
    <t>Senescyt</t>
  </si>
  <si>
    <t>Derecho Online Inv</t>
  </si>
  <si>
    <t>Canibalización Carreras Online</t>
  </si>
  <si>
    <t>FECHA_ENTREGA</t>
  </si>
  <si>
    <t>Tendencias/Inv de Mercados</t>
  </si>
  <si>
    <t>EMPLEABILIDAD UDLA</t>
  </si>
  <si>
    <t>Cargar datos de empleos graduados</t>
  </si>
  <si>
    <t>LINKEDIN</t>
  </si>
  <si>
    <t>Bajarse links y la data</t>
  </si>
  <si>
    <t>LINKEDIN INTELIGENCIA</t>
  </si>
  <si>
    <t>Cargar los datos al dash con inteligencia</t>
  </si>
  <si>
    <t>EMPLEABILIDAD CR</t>
  </si>
  <si>
    <t>EMPLEABILIDAD COSTA RICA</t>
  </si>
  <si>
    <t>EMPLEABILIDAD CR CON INTELIGENCIA DASH</t>
  </si>
  <si>
    <t>Armar dash con inteligencia</t>
  </si>
  <si>
    <t>TRACKING DE MARCA 2025</t>
  </si>
  <si>
    <t>TRACKING DE MARCA 2026</t>
  </si>
  <si>
    <t>PROFESIONALES</t>
  </si>
  <si>
    <t>COLEGIOS</t>
  </si>
  <si>
    <t>CLIENTE OCULTO INTERNO</t>
  </si>
  <si>
    <t>CLIENTE OCULTO PRIMERA TOMA 2025</t>
  </si>
  <si>
    <t>CLIENTE OCULTO SEGUNDA TOMA 2025</t>
  </si>
  <si>
    <t>TOMA DE SEPTIEMBRE</t>
  </si>
  <si>
    <t>TOMA DE MARZO</t>
  </si>
  <si>
    <t>CLIENTE OCULTO PRIMERA TOMA 2026</t>
  </si>
  <si>
    <t>CLIENTE OCULTO SEGUNDA TOMA 2026</t>
  </si>
  <si>
    <t>POST MORTEM</t>
  </si>
  <si>
    <t>POST MORTEM CIERRE DEL INTAKE</t>
  </si>
  <si>
    <t>EXTRACCIÓN DE DATA</t>
  </si>
  <si>
    <t>ANALISIS DE LA EXTRACCIÓN Y ARMAR LA PPT</t>
  </si>
  <si>
    <t>OPINA ESTUDIANTES</t>
  </si>
  <si>
    <t>LEVANTAR ENCUESTAS</t>
  </si>
  <si>
    <t>PASAR DATA A INTELIGENCIA</t>
  </si>
  <si>
    <t>OPINA FUNCIONARIOS</t>
  </si>
  <si>
    <t>LEVANTAMIENTO DE DATA 2025</t>
  </si>
  <si>
    <t>DASHBOARD 2025</t>
  </si>
  <si>
    <t>LEVANTAMIENTO DE DATA 2026</t>
  </si>
  <si>
    <t>DASHBOARD 2026</t>
  </si>
  <si>
    <t>CLIENTE OCULTO EXTERNO</t>
  </si>
  <si>
    <t>TRACKING DE PRECIOS EXTERNO</t>
  </si>
  <si>
    <t>TRACKING DE PRECIOS INTERNO</t>
  </si>
  <si>
    <t>CONSEGUIR GENTE CON T&amp;C</t>
  </si>
  <si>
    <t>LEVANTAR PERFILES DE CONTRATACION</t>
  </si>
  <si>
    <t>SELECCIONAR UNIVERSIDADES A LEVANTAR</t>
  </si>
  <si>
    <t>LEVANTAR PRECIOS CON PROVEEDOR</t>
  </si>
  <si>
    <t>EL PROVEEDOR NOS DEBE PASAR LA DATA Y NOSOTROS DARLE FORMATO</t>
  </si>
  <si>
    <t>COLOCAR SEGÚN EL FORMATO NECESARIO</t>
  </si>
  <si>
    <t>INNOVA XUDLA</t>
  </si>
  <si>
    <t>EXTRAER DATA</t>
  </si>
  <si>
    <t>ARMAR PRESENTACIÓN DE PERFILES DEMOGRAFICOS</t>
  </si>
  <si>
    <t>ARMAR PPT FINAL</t>
  </si>
  <si>
    <t>INSTITUTOS PERFIL DEMOGRAFICO</t>
  </si>
  <si>
    <t>MODELO ADMISIONES UPLIFTING</t>
  </si>
  <si>
    <t>EXTRAER DATA Y ARMAR LA BASE</t>
  </si>
  <si>
    <t>ARMAR PRESENTACIÓN</t>
  </si>
  <si>
    <t>NEW ENROLLMENT OTRAS UNIVERSIDADES</t>
  </si>
  <si>
    <t>SACAR EL % DE NEW ENROLLMENT DE OTRAS UNIVERSIDADES</t>
  </si>
  <si>
    <t>EN FUNCIÓN DE LAS MATRICULAS SACAR EL 20%</t>
  </si>
  <si>
    <t>CLUSTER OTRAS UNIVERSIDADES</t>
  </si>
  <si>
    <t>EXTRAER DATA DE PERIFLES DE OTRAS UNIVERSIDADES Y CLUSTERIZAR</t>
  </si>
  <si>
    <t>ARMAR PRESENTACIÓN CON COMPARATIVO DE UDLA</t>
  </si>
  <si>
    <t>INGRESOS DE CHICOS COLEGIOS</t>
  </si>
  <si>
    <t>SACAR ING PROMEDIO DE PERFILES DE COLEGIOS PUNTUALES</t>
  </si>
  <si>
    <t>ARMAR ENTREGABLE</t>
  </si>
  <si>
    <t>EXCEL FINAL</t>
  </si>
  <si>
    <t>INV DE MERCADO VETERINARIA</t>
  </si>
  <si>
    <t>VER QUE TAN VIABLE ES LA CLINICA VETERINARIA Y EN DONDE</t>
  </si>
  <si>
    <t>TRABAJAR CON EL PROVEEDOR</t>
  </si>
  <si>
    <t>GASTOS PAUTA</t>
  </si>
  <si>
    <t>ARMAR TABLAS CON LA DATA NECESARIA</t>
  </si>
  <si>
    <t>ARMAR DASHBOARDS EN FUNCIÓN DE LA DATA</t>
  </si>
  <si>
    <t>PREGUNTAR CRIS Y ACTUALIZAR DATA 2026</t>
  </si>
  <si>
    <t>ARBOL DE DECISIÓN GRADUADOS</t>
  </si>
  <si>
    <t>ARMAR UN ARBOL DE DECISIÓN EN FUNCION DEL EMPLEO Y CARRERAS DE LOS GRADUADOS</t>
  </si>
  <si>
    <t>HAY QUE PREGUNTAR ENTREGABLE FINAL EN QUE FORMATO LO NECESITAN</t>
  </si>
  <si>
    <t>ANALISIS DE PRODUCTO PSICOLOGÍA</t>
  </si>
  <si>
    <t>ESTUDIO CUALITATIVO Y CUANTITATIVO</t>
  </si>
  <si>
    <t>PERFIL DEMOGRAFICO ONLINE</t>
  </si>
  <si>
    <t>EXTRAER INFO DE SENESCYT Y DE AHÍ SACAR ING/DEUDA</t>
  </si>
  <si>
    <t>ARMAR PERFILES DEMOGRAFICOS</t>
  </si>
  <si>
    <t>ARMAR COMPARATIVO FRENTE A UDLA Y EL PERFIL DEMOGRAFICO</t>
  </si>
  <si>
    <t>ROBLOX</t>
  </si>
  <si>
    <t>ENVIAR USUARIOS Y CONTRASEÑAS</t>
  </si>
  <si>
    <t>MANDAR MASIVAMENTE LOS USUARIOS Y CONTRASEÑAS Y CORREGIR DE SER NECESARIO</t>
  </si>
  <si>
    <t>INSTITUTOS OIKONOMICS</t>
  </si>
  <si>
    <t>CONTRATO CON EL PROVEEDOR (DEMANDA Y OFERTA)</t>
  </si>
  <si>
    <t>FINALIZAR SOLPED</t>
  </si>
  <si>
    <t>INV DE MERCADOS Y TENDENCIA CAPITAL HUMANO</t>
  </si>
  <si>
    <t>PROYECTO ALEXANDRA VELA</t>
  </si>
  <si>
    <t>ARMAR PPT CON DATA SOBRE MERCADO LABORAL</t>
  </si>
  <si>
    <t>INV PURA VIDA</t>
  </si>
  <si>
    <t>INTERCAMBIOS PURA VIDA ACEPTACION DE ESTUDIANTES</t>
  </si>
  <si>
    <t>ARMAR ENCUESTA DESDE CERO</t>
  </si>
  <si>
    <t>INV INTERCAMBIOS USA</t>
  </si>
  <si>
    <t>MODERACION DE PRECIOS Y VIABILIDAD</t>
  </si>
  <si>
    <t>EXPLORAR PRECIOS REFERENCIALES DE INTERCAMBIOS HACIA ECU</t>
  </si>
  <si>
    <t>BUSCAR VARIABLES A EXTRAER</t>
  </si>
  <si>
    <t>EXPLORAR DISTINTAS FUENTES DE DATOS Y TEMPORALIDADES</t>
  </si>
  <si>
    <t>ARMAR MODELOS</t>
  </si>
  <si>
    <t>DICCIONARIO DE VARIABLES DATAVERSO</t>
  </si>
  <si>
    <t>ARMAR UN DICCIONARIO PARA FUTURAS OCACIONES</t>
  </si>
  <si>
    <t>ARMAR PPT</t>
  </si>
  <si>
    <t>ARMAR PPT DEL PROYECTO</t>
  </si>
  <si>
    <t>ENTREGABLE PPT</t>
  </si>
  <si>
    <t>SVAR, REGRESIONES, FUNCIONES IMPULSO RESPUESTA, ETC</t>
  </si>
  <si>
    <t>ARMAR PPT CON LA AUTOMATIZACION Y BOTS, VARIABLES</t>
  </si>
  <si>
    <t>PRESENTACIÓN DE RESULTADOS</t>
  </si>
  <si>
    <t>INV DE MERCADO CLUBES</t>
  </si>
  <si>
    <t>ARMAR ENCUESTA DE ACEPTACION, GUSTOS Y PREFERENCIAS DE CLUBES</t>
  </si>
  <si>
    <t>SACAR ENCUESTAS</t>
  </si>
  <si>
    <t>ARMAR PPT FINAL INCLUYENDO TEMAS DE PA</t>
  </si>
  <si>
    <t>SACAR PA Y ARMAR TODO</t>
  </si>
  <si>
    <t>CLIENTE OCULTO+TRACKING DE PRECIOS COSTA RICA</t>
  </si>
  <si>
    <t>TRABAJO CON AURENS</t>
  </si>
  <si>
    <t>DEFINIR TEMPORALIDADES</t>
  </si>
  <si>
    <t>TENDENCIAS/INV DE MERCADO</t>
  </si>
  <si>
    <t>INGENIERIA ELECTROMECANICA</t>
  </si>
  <si>
    <t>INGENIERIA MECANICA</t>
  </si>
  <si>
    <t>INGENIERIA ELECTRICA</t>
  </si>
  <si>
    <t>MAESTRÍA EN DIRECCION DE MERCADOS GLOBALES MENCION ESTRATEGIA INTERNACIONAL</t>
  </si>
  <si>
    <t>MAESTRIA EN DIRECCION DE COMPRAS MENCION PROCUREMENT</t>
  </si>
  <si>
    <t>MAESTRIA EN AGROINDUSTRIA MENCION GESTION DE CALIDAD Y SEGURIDAD ALIMENTARIA</t>
  </si>
  <si>
    <t>FINANZAS ONLINE</t>
  </si>
  <si>
    <t>MAESTRIA EN COOPERACION INTERNACIONAL Y DESARROLLO SOSTENIBLE</t>
  </si>
  <si>
    <t>MAESTRIA EN DIRECCION DE CIENCIA POLITICA APLICADA Y ANALISIS DE POLITICAS PUBLICAS</t>
  </si>
  <si>
    <t>MAESTRIA EN CREACION Y PRODUCCION DE CONTENIDOS DIGITALES</t>
  </si>
  <si>
    <t>INGENIERIA EN INTELIGENCIA ARTIFICIAL</t>
  </si>
  <si>
    <t>MAESTRIA EN PSICODEPAGOGIA</t>
  </si>
  <si>
    <t>MAESTRIA EN DISEÑO DEL ESPACIO COMERCIAL MENCION RETAIL DESING</t>
  </si>
  <si>
    <t>DIPLOMADO EN GESTION FINTECH</t>
  </si>
  <si>
    <t>CR CERTIFICADO EN MOTION GRAPHICS</t>
  </si>
  <si>
    <t>CR LICENCIATURA EN OPTOMETRIA CON ENFASIS EN CONTROL DE MIOPIA</t>
  </si>
  <si>
    <t>CR MAESTRIA CIENCIAS DE LA EDUCACION ENFASIS DOCENCIA TRANSFORMADORA</t>
  </si>
  <si>
    <t>CR TECNICO CUALIFICADO EN INGLES</t>
  </si>
  <si>
    <t>CR MAESTRIA TRADUCCION E INTERPRETACIONN ESPAÑOL-INGLES, INGLES-ESPAÑOL</t>
  </si>
  <si>
    <t>CR LICENCIATURA EN DISEÑO INMERSIVO CON ENFASIS EN REALIDAD VIRTUAL</t>
  </si>
  <si>
    <t>MAESTRIA EN DERECHO DIGITAL E INNOVACION</t>
  </si>
  <si>
    <t>MAESTRIA EN ENERGIAS RENOVABLES Y EFICIENCIA ENERGETICA</t>
  </si>
  <si>
    <t>INGENIERIA EN SOSTENIBILIDAD</t>
  </si>
  <si>
    <t>CR CERTIFICADO EN INSTALACIONES ELECTRICAS RESIDENCIALES</t>
  </si>
  <si>
    <t>MAESTRIA EN CIENCIAS VETERINARIAS CON MENCION EN ETOLOGIA Y BIENESTAR ANIMAL</t>
  </si>
  <si>
    <t>MAESTRIA EN ADMINISTRACION Y GESTION DE NEGOCIOS VETERINARIOS</t>
  </si>
  <si>
    <t>TECNICO EN CONSTRUCCION</t>
  </si>
  <si>
    <t>COMUNICACIÓN Y MEDIOS DIGITAL</t>
  </si>
  <si>
    <t>ESPECIALIDAD EN CIRUGIA GENERAL Y LAPAROSCOPICA</t>
  </si>
  <si>
    <t>ANALISIS Y CIENCIA DE DATOS PARA INTELIGENCIA DE NEGOCIOS</t>
  </si>
  <si>
    <t>PSICOLOGÍA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</si>
</sst>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b/>
      <sz val="16"/>
      <color theme="0"/>
      <name val="Century Gothic"/>
      <family val="2"/>
    </font>
    <font>
      <b/>
      <sz val="11"/>
      <color rgb="FF0067B6"/>
      <name val="Century Gothic"/>
      <family val="2"/>
    </font>
    <font>
      <b/>
      <sz val="12"/>
      <color rgb="FF0067B6"/>
      <name val="Century Gothic"/>
      <family val="2"/>
    </font>
    <font>
      <b/>
      <sz val="14"/>
      <color rgb="FF0067B6"/>
      <name val="Century Gothic"/>
      <family val="2"/>
    </font>
    <font>
      <b/>
      <sz val="22"/>
      <color rgb="FF0067B6"/>
      <name val="Century Gothic"/>
      <family val="2"/>
    </font>
    <font>
      <b/>
      <sz val="12"/>
      <color theme="1"/>
      <name val="Century Gothic"/>
      <family val="2"/>
    </font>
    <font>
      <b/>
      <sz val="14"/>
      <color theme="1"/>
      <name val="Century Gothic"/>
      <family val="2"/>
    </font>
    <font>
      <b/>
      <sz val="11"/>
      <color theme="1" tint="0.34998626667073579"/>
      <name val="Century Gothic"/>
      <family val="2"/>
    </font>
    <font>
      <b/>
      <sz val="11"/>
      <color theme="3" tint="0.249977111117893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7FC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7" tint="-0.499984740745262"/>
      </top>
      <bottom/>
      <diagonal/>
    </border>
    <border>
      <left/>
      <right/>
      <top/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/>
      <top/>
      <bottom/>
      <diagonal/>
    </border>
    <border>
      <left/>
      <right style="thin">
        <color theme="7" tint="-0.499984740745262"/>
      </right>
      <top/>
      <bottom/>
      <diagonal/>
    </border>
    <border>
      <left style="thin">
        <color theme="7" tint="-0.499984740745262"/>
      </left>
      <right/>
      <top/>
      <bottom style="thin">
        <color theme="7" tint="-0.499984740745262"/>
      </bottom>
      <diagonal/>
    </border>
    <border>
      <left/>
      <right style="thin">
        <color theme="7" tint="-0.499984740745262"/>
      </right>
      <top/>
      <bottom style="thin">
        <color theme="7" tint="-0.499984740745262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9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10" fillId="0" borderId="0" xfId="0" applyFont="1"/>
    <xf numFmtId="16" fontId="0" fillId="0" borderId="0" xfId="0" applyNumberFormat="1"/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14" fontId="0" fillId="0" borderId="0" xfId="0" applyNumberFormat="1"/>
  </cellXfs>
  <cellStyles count="2">
    <cellStyle name="Normal" xfId="0" builtinId="0"/>
    <cellStyle name="Porcentaje" xfId="1" builtinId="5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solid">
          <bgColor rgb="FFFFEBEB"/>
        </patternFill>
      </fill>
    </dxf>
    <dxf>
      <font>
        <b/>
        <i val="0"/>
        <color rgb="FFFF9999"/>
      </font>
    </dxf>
    <dxf>
      <fill>
        <patternFill>
          <bgColor rgb="FFFF99CC"/>
        </patternFill>
      </fill>
    </dxf>
    <dxf>
      <font>
        <b/>
        <i val="0"/>
        <color theme="7" tint="-0.499984740745262"/>
        <name val="Century Gothic"/>
        <family val="2"/>
        <scheme val="none"/>
      </font>
    </dxf>
    <dxf>
      <font>
        <name val="Century Gothic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7" tint="-0.499984740745262"/>
        <name val="Century Gothic"/>
        <family val="2"/>
        <scheme val="none"/>
      </font>
    </dxf>
    <dxf>
      <border diagonalUp="0" diagonalDown="0">
        <left/>
        <right/>
        <top/>
        <bottom/>
        <vertical/>
        <horizontal/>
      </border>
    </dxf>
  </dxfs>
  <tableStyles count="4" defaultTableStyle="TableStyleMedium2" defaultPivotStyle="PivotStyleLight16">
    <tableStyle name="Estilo de segmentación de datos 1" pivot="0" table="0" count="2" xr9:uid="{89C9F20B-1C9D-46FB-8742-6685A4C674FD}">
      <tableStyleElement type="wholeTable" dxfId="7"/>
      <tableStyleElement type="headerRow" dxfId="6"/>
    </tableStyle>
    <tableStyle name="Estilo de segmentación de datos 2" pivot="0" table="0" count="4" xr9:uid="{D2D3DE8D-3FE4-4B3E-9A62-EDE1ACB71AC6}">
      <tableStyleElement type="wholeTable" dxfId="5"/>
      <tableStyleElement type="headerRow" dxfId="4"/>
    </tableStyle>
    <tableStyle name="Estilo de tabla 1" pivot="0" count="1" xr9:uid="{731EB6B0-94DD-46B1-AB97-F585752C8161}">
      <tableStyleElement type="wholeTable" dxfId="3"/>
    </tableStyle>
    <tableStyle name="Estilo de tabla 2" pivot="0" count="2" xr9:uid="{DABFE03E-CE0D-4D94-A7AA-29255E634C47}">
      <tableStyleElement type="headerRow" dxfId="2"/>
      <tableStyleElement type="firstRowStripe" dxfId="1"/>
    </tableStyle>
  </tableStyles>
  <colors>
    <mruColors>
      <color rgb="FFFFEBEB"/>
      <color rgb="FFFF9999"/>
      <color rgb="FFFFBDBD"/>
      <color rgb="FFFFB3D9"/>
      <color rgb="FFFF99CC"/>
      <color rgb="FFF2F7FC"/>
      <color rgb="FF82D565"/>
      <color rgb="FF4EA72E"/>
      <color rgb="FF4600FF"/>
    </mruColors>
  </colors>
  <extLst>
    <ext xmlns:x14="http://schemas.microsoft.com/office/spreadsheetml/2009/9/main" uri="{46F421CA-312F-682f-3DD2-61675219B42D}">
      <x14:dxfs count="2">
        <dxf>
          <font>
            <name val="Century Gothic"/>
            <family val="2"/>
            <scheme val="none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4" tint="0.7999816888943144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/>
        <x14:slicerStyle name="Estilo de segmentación de datos 2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[TRACKER IDM.xlsx]TD!TablaDinámica5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TD!$C$41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TD!$B$42:$B$46</c:f>
              <c:strCache>
                <c:ptCount val="4"/>
                <c:pt idx="0">
                  <c:v>Dataverso</c:v>
                </c:pt>
                <c:pt idx="1">
                  <c:v>Empleabilidad</c:v>
                </c:pt>
                <c:pt idx="2">
                  <c:v>Marketshare</c:v>
                </c:pt>
                <c:pt idx="3">
                  <c:v>OPINA Costa Rica</c:v>
                </c:pt>
              </c:strCache>
            </c:strRef>
          </c:cat>
          <c:val>
            <c:numRef>
              <c:f>TD!$C$42:$C$46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3-4DD1-8982-B913CFE1D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9995711"/>
        <c:axId val="829992351"/>
      </c:barChart>
      <c:catAx>
        <c:axId val="829995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9992351"/>
        <c:crosses val="autoZero"/>
        <c:auto val="1"/>
        <c:lblAlgn val="ctr"/>
        <c:lblOffset val="100"/>
        <c:noMultiLvlLbl val="0"/>
      </c:catAx>
      <c:valAx>
        <c:axId val="82999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999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[TRACKER IDM.xlsx]TD!TablaDinámica6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TD!$C$52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TD!$B$53:$B$56</c:f>
              <c:strCache>
                <c:ptCount val="3"/>
                <c:pt idx="0">
                  <c:v>Inv de Mercados Medicina Interna</c:v>
                </c:pt>
                <c:pt idx="1">
                  <c:v>Inv de Mercados Especialización en Patología</c:v>
                </c:pt>
                <c:pt idx="2">
                  <c:v>Inv de Mercados Maestría en Sostenibilidad </c:v>
                </c:pt>
              </c:strCache>
            </c:strRef>
          </c:cat>
          <c:val>
            <c:numRef>
              <c:f>TD!$C$53:$C$56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F-4E3A-9D60-E11EFE9D2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8395791"/>
        <c:axId val="308399151"/>
      </c:barChart>
      <c:catAx>
        <c:axId val="308395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08399151"/>
        <c:crosses val="autoZero"/>
        <c:auto val="1"/>
        <c:lblAlgn val="ctr"/>
        <c:lblOffset val="100"/>
        <c:noMultiLvlLbl val="0"/>
      </c:catAx>
      <c:valAx>
        <c:axId val="308399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0839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[TRACKER IDM.xlsx]TD!TablaDinámica7</c:name>
    <c:fmtId val="19"/>
  </c:pivotSource>
  <c:chart>
    <c:autoTitleDeleted val="1"/>
    <c:pivotFmts>
      <c:pivotFmt>
        <c:idx val="0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85587357830271216"/>
          <c:y val="0.23406969962088073"/>
          <c:w val="7.1904199475065614E-2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TD!$C$62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TD!$B$63:$B$65</c:f>
              <c:strCache>
                <c:ptCount val="2"/>
                <c:pt idx="0">
                  <c:v>Simulación Programación Académica Salud/Medicina</c:v>
                </c:pt>
                <c:pt idx="1">
                  <c:v>Social Pulse</c:v>
                </c:pt>
              </c:strCache>
            </c:strRef>
          </c:cat>
          <c:val>
            <c:numRef>
              <c:f>TD!$C$63:$C$65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9-4FB4-B45C-D8145DF61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4397567"/>
        <c:axId val="854014239"/>
      </c:barChart>
      <c:catAx>
        <c:axId val="854397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54014239"/>
        <c:crosses val="autoZero"/>
        <c:auto val="1"/>
        <c:lblAlgn val="ctr"/>
        <c:lblOffset val="100"/>
        <c:noMultiLvlLbl val="0"/>
      </c:catAx>
      <c:valAx>
        <c:axId val="8540142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439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[TRACKER IDM.xlsx]TD!TablaDinámica8</c:name>
    <c:fmtId val="2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TD!$C$71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TD!$B$72</c:f>
              <c:strCache>
                <c:ptCount val="1"/>
                <c:pt idx="0">
                  <c:v>Total general</c:v>
                </c:pt>
              </c:strCache>
            </c:strRef>
          </c:cat>
          <c:val>
            <c:numRef>
              <c:f>TD!$C$72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8655-4CD3-A592-F49185BF3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1105247"/>
        <c:axId val="831105727"/>
      </c:barChart>
      <c:catAx>
        <c:axId val="831105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31105727"/>
        <c:crosses val="autoZero"/>
        <c:auto val="1"/>
        <c:lblAlgn val="ctr"/>
        <c:lblOffset val="100"/>
        <c:noMultiLvlLbl val="0"/>
      </c:catAx>
      <c:valAx>
        <c:axId val="8311057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110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[TRACKER IDM.xlsx]TD!TablaDinámica9</c:name>
    <c:fmtId val="29"/>
  </c:pivotSource>
  <c:chart>
    <c:autoTitleDeleted val="1"/>
    <c:pivotFmts>
      <c:pivotFmt>
        <c:idx val="0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TD!$C$78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TD!$B$79:$B$80</c:f>
              <c:strCache>
                <c:ptCount val="1"/>
                <c:pt idx="0">
                  <c:v>Competencia Precios</c:v>
                </c:pt>
              </c:strCache>
            </c:strRef>
          </c:cat>
          <c:val>
            <c:numRef>
              <c:f>TD!$C$79:$C$80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5-47A5-B435-378E1DB22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5909296"/>
        <c:axId val="685907856"/>
      </c:barChart>
      <c:catAx>
        <c:axId val="685909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85907856"/>
        <c:crosses val="autoZero"/>
        <c:auto val="1"/>
        <c:lblAlgn val="ctr"/>
        <c:lblOffset val="100"/>
        <c:noMultiLvlLbl val="0"/>
      </c:catAx>
      <c:valAx>
        <c:axId val="685907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590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[TRACKER IDM.xlsx]TD!TablaDinámica5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85303357971618454"/>
          <c:y val="0.23406969962088073"/>
          <c:w val="8.5685083236461734E-2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TD!$C$41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TD!$B$42:$B$46</c:f>
              <c:strCache>
                <c:ptCount val="4"/>
                <c:pt idx="0">
                  <c:v>Dataverso</c:v>
                </c:pt>
                <c:pt idx="1">
                  <c:v>Empleabilidad</c:v>
                </c:pt>
                <c:pt idx="2">
                  <c:v>Marketshare</c:v>
                </c:pt>
                <c:pt idx="3">
                  <c:v>OPINA Costa Rica</c:v>
                </c:pt>
              </c:strCache>
            </c:strRef>
          </c:cat>
          <c:val>
            <c:numRef>
              <c:f>TD!$C$42:$C$46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96-43AE-B69C-A0936EAA6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9995711"/>
        <c:axId val="829992351"/>
      </c:barChart>
      <c:catAx>
        <c:axId val="829995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C"/>
          </a:p>
        </c:txPr>
        <c:crossAx val="829992351"/>
        <c:crosses val="autoZero"/>
        <c:auto val="1"/>
        <c:lblAlgn val="ctr"/>
        <c:lblOffset val="100"/>
        <c:noMultiLvlLbl val="0"/>
      </c:catAx>
      <c:valAx>
        <c:axId val="8299923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2999571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[TRACKER IDM.xlsx]TD!TablaDinámica6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77804638118865277"/>
          <c:y val="0.3206143183714939"/>
          <c:w val="2.1183043900334375E-2"/>
          <c:h val="0.596087303603178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TD!$C$52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TD!$B$53:$B$56</c:f>
              <c:strCache>
                <c:ptCount val="3"/>
                <c:pt idx="0">
                  <c:v>Inv de Mercados Medicina Interna</c:v>
                </c:pt>
                <c:pt idx="1">
                  <c:v>Inv de Mercados Especialización en Patología</c:v>
                </c:pt>
                <c:pt idx="2">
                  <c:v>Inv de Mercados Maestría en Sostenibilidad </c:v>
                </c:pt>
              </c:strCache>
            </c:strRef>
          </c:cat>
          <c:val>
            <c:numRef>
              <c:f>TD!$C$53:$C$56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25-4DCC-A29A-CE115D055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8395791"/>
        <c:axId val="308399151"/>
      </c:barChart>
      <c:catAx>
        <c:axId val="308395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C"/>
          </a:p>
        </c:txPr>
        <c:crossAx val="308399151"/>
        <c:crosses val="autoZero"/>
        <c:auto val="1"/>
        <c:lblAlgn val="ctr"/>
        <c:lblOffset val="100"/>
        <c:noMultiLvlLbl val="0"/>
      </c:catAx>
      <c:valAx>
        <c:axId val="3083991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8395791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[TRACKER IDM.xlsx]TD!TablaDinámica7</c:name>
    <c:fmtId val="21"/>
  </c:pivotSource>
  <c:chart>
    <c:autoTitleDeleted val="1"/>
    <c:pivotFmts>
      <c:pivotFmt>
        <c:idx val="0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73528399539945144"/>
          <c:y val="0.23406969962088073"/>
          <c:w val="0.15797443156684066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TD!$C$62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TD!$B$63:$B$65</c:f>
              <c:strCache>
                <c:ptCount val="2"/>
                <c:pt idx="0">
                  <c:v>Simulación Programación Académica Salud/Medicina</c:v>
                </c:pt>
                <c:pt idx="1">
                  <c:v>Social Pulse</c:v>
                </c:pt>
              </c:strCache>
            </c:strRef>
          </c:cat>
          <c:val>
            <c:numRef>
              <c:f>TD!$C$63:$C$65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6-46E5-9AE0-F5C60EB45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4397567"/>
        <c:axId val="854014239"/>
      </c:barChart>
      <c:catAx>
        <c:axId val="854397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C"/>
          </a:p>
        </c:txPr>
        <c:crossAx val="854014239"/>
        <c:crosses val="autoZero"/>
        <c:auto val="1"/>
        <c:lblAlgn val="ctr"/>
        <c:lblOffset val="100"/>
        <c:noMultiLvlLbl val="0"/>
      </c:catAx>
      <c:valAx>
        <c:axId val="8540142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439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[TRACKER IDM.xlsx]TD!TablaDinámica8</c:name>
    <c:fmtId val="2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92817913385826767"/>
          <c:y val="0.23406969962088073"/>
          <c:w val="4.1265310586176725E-2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TD!$C$71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TD!$B$72</c:f>
              <c:strCache>
                <c:ptCount val="1"/>
                <c:pt idx="0">
                  <c:v>Total general</c:v>
                </c:pt>
              </c:strCache>
            </c:strRef>
          </c:cat>
          <c:val>
            <c:numRef>
              <c:f>TD!$C$72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92F7-40B6-82AE-CFAC30C69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1105247"/>
        <c:axId val="831105727"/>
      </c:barChart>
      <c:catAx>
        <c:axId val="831105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C"/>
          </a:p>
        </c:txPr>
        <c:crossAx val="831105727"/>
        <c:crosses val="autoZero"/>
        <c:auto val="1"/>
        <c:lblAlgn val="ctr"/>
        <c:lblOffset val="100"/>
        <c:noMultiLvlLbl val="0"/>
      </c:catAx>
      <c:valAx>
        <c:axId val="8311057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110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[TRACKER IDM.xlsx]TD!TablaDinámica9</c:name>
    <c:fmtId val="32"/>
  </c:pivotSource>
  <c:chart>
    <c:autoTitleDeleted val="1"/>
    <c:pivotFmts>
      <c:pivotFmt>
        <c:idx val="0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TD!$C$78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TD!$B$79:$B$80</c:f>
              <c:strCache>
                <c:ptCount val="1"/>
                <c:pt idx="0">
                  <c:v>Competencia Precios</c:v>
                </c:pt>
              </c:strCache>
            </c:strRef>
          </c:cat>
          <c:val>
            <c:numRef>
              <c:f>TD!$C$79:$C$80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B-4788-BF27-319DFE1C0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5909296"/>
        <c:axId val="685907856"/>
      </c:barChart>
      <c:catAx>
        <c:axId val="685909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C"/>
          </a:p>
        </c:txPr>
        <c:crossAx val="685907856"/>
        <c:crosses val="autoZero"/>
        <c:auto val="1"/>
        <c:lblAlgn val="ctr"/>
        <c:lblOffset val="100"/>
        <c:noMultiLvlLbl val="0"/>
      </c:catAx>
      <c:valAx>
        <c:axId val="685907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590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1.png"/><Relationship Id="rId1" Type="http://schemas.openxmlformats.org/officeDocument/2006/relationships/chart" Target="../charts/chart6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36</xdr:row>
      <xdr:rowOff>174625</xdr:rowOff>
    </xdr:from>
    <xdr:to>
      <xdr:col>8</xdr:col>
      <xdr:colOff>114300</xdr:colOff>
      <xdr:row>45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240D08-FB1B-8D03-B315-C2AA2F92A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723900</xdr:colOff>
      <xdr:row>47</xdr:row>
      <xdr:rowOff>142875</xdr:rowOff>
    </xdr:from>
    <xdr:to>
      <xdr:col>8</xdr:col>
      <xdr:colOff>19050</xdr:colOff>
      <xdr:row>55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451E6E7-2022-673C-3D46-60B674036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698500</xdr:colOff>
      <xdr:row>57</xdr:row>
      <xdr:rowOff>174625</xdr:rowOff>
    </xdr:from>
    <xdr:to>
      <xdr:col>7</xdr:col>
      <xdr:colOff>603250</xdr:colOff>
      <xdr:row>65</xdr:row>
      <xdr:rowOff>50800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FC03A23-AAD1-0653-6AC8-99CFFC333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752475</xdr:colOff>
      <xdr:row>66</xdr:row>
      <xdr:rowOff>79375</xdr:rowOff>
    </xdr:from>
    <xdr:to>
      <xdr:col>7</xdr:col>
      <xdr:colOff>609600</xdr:colOff>
      <xdr:row>71</xdr:row>
      <xdr:rowOff>165100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2C5D6E9-52C7-256F-F040-FA9FD0DBD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692150</xdr:colOff>
      <xdr:row>71</xdr:row>
      <xdr:rowOff>161925</xdr:rowOff>
    </xdr:from>
    <xdr:to>
      <xdr:col>8</xdr:col>
      <xdr:colOff>133350</xdr:colOff>
      <xdr:row>86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9FF4AD-9A03-EFE6-84B4-42BC1C4FB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6350</xdr:rowOff>
    </xdr:from>
    <xdr:to>
      <xdr:col>2</xdr:col>
      <xdr:colOff>755650</xdr:colOff>
      <xdr:row>38</xdr:row>
      <xdr:rowOff>165100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A9006B-5011-4881-88AA-6EB8BE1272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</xdr:row>
      <xdr:rowOff>12700</xdr:rowOff>
    </xdr:from>
    <xdr:to>
      <xdr:col>2</xdr:col>
      <xdr:colOff>428898</xdr:colOff>
      <xdr:row>23</xdr:row>
      <xdr:rowOff>63500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2DC171-D59E-477A-5259-75358EC92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6400"/>
          <a:ext cx="1952898" cy="565150"/>
        </a:xfrm>
        <a:prstGeom prst="rect">
          <a:avLst/>
        </a:prstGeom>
      </xdr:spPr>
    </xdr:pic>
    <xdr:clientData/>
  </xdr:twoCellAnchor>
  <xdr:twoCellAnchor>
    <xdr:from>
      <xdr:col>4</xdr:col>
      <xdr:colOff>44450</xdr:colOff>
      <xdr:row>20</xdr:row>
      <xdr:rowOff>38100</xdr:rowOff>
    </xdr:from>
    <xdr:to>
      <xdr:col>6</xdr:col>
      <xdr:colOff>749300</xdr:colOff>
      <xdr:row>38</xdr:row>
      <xdr:rowOff>158750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80423E3-C913-49D8-BA26-A4FF6B880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25400</xdr:colOff>
      <xdr:row>20</xdr:row>
      <xdr:rowOff>82550</xdr:rowOff>
    </xdr:from>
    <xdr:to>
      <xdr:col>6</xdr:col>
      <xdr:colOff>454298</xdr:colOff>
      <xdr:row>23</xdr:row>
      <xdr:rowOff>133350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E8C890A-E6D3-45C3-8538-C0B849E52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73400" y="3409950"/>
          <a:ext cx="1952898" cy="565150"/>
        </a:xfrm>
        <a:prstGeom prst="rect">
          <a:avLst/>
        </a:prstGeom>
      </xdr:spPr>
    </xdr:pic>
    <xdr:clientData/>
  </xdr:twoCellAnchor>
  <xdr:twoCellAnchor>
    <xdr:from>
      <xdr:col>8</xdr:col>
      <xdr:colOff>25400</xdr:colOff>
      <xdr:row>20</xdr:row>
      <xdr:rowOff>12700</xdr:rowOff>
    </xdr:from>
    <xdr:to>
      <xdr:col>10</xdr:col>
      <xdr:colOff>749300</xdr:colOff>
      <xdr:row>38</xdr:row>
      <xdr:rowOff>133350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FFE60B7-9A1D-48CA-9436-427635A8E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69850</xdr:colOff>
      <xdr:row>20</xdr:row>
      <xdr:rowOff>63500</xdr:rowOff>
    </xdr:from>
    <xdr:to>
      <xdr:col>10</xdr:col>
      <xdr:colOff>498748</xdr:colOff>
      <xdr:row>23</xdr:row>
      <xdr:rowOff>114300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80848FD-14A9-4A52-804E-967503655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5850" y="2997200"/>
          <a:ext cx="1952898" cy="565150"/>
        </a:xfrm>
        <a:prstGeom prst="rect">
          <a:avLst/>
        </a:prstGeom>
      </xdr:spPr>
    </xdr:pic>
    <xdr:clientData/>
  </xdr:twoCellAnchor>
  <xdr:twoCellAnchor>
    <xdr:from>
      <xdr:col>12</xdr:col>
      <xdr:colOff>31750</xdr:colOff>
      <xdr:row>20</xdr:row>
      <xdr:rowOff>19050</xdr:rowOff>
    </xdr:from>
    <xdr:to>
      <xdr:col>14</xdr:col>
      <xdr:colOff>730250</xdr:colOff>
      <xdr:row>38</xdr:row>
      <xdr:rowOff>146050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7AF3229-5FC3-4CF6-B3AF-EAE53B4728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57150</xdr:colOff>
      <xdr:row>20</xdr:row>
      <xdr:rowOff>63500</xdr:rowOff>
    </xdr:from>
    <xdr:to>
      <xdr:col>14</xdr:col>
      <xdr:colOff>486048</xdr:colOff>
      <xdr:row>23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75DBDE-2392-4E20-BAB3-33B1E996E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01150" y="2997200"/>
          <a:ext cx="1952898" cy="565150"/>
        </a:xfrm>
        <a:prstGeom prst="rect">
          <a:avLst/>
        </a:prstGeom>
      </xdr:spPr>
    </xdr:pic>
    <xdr:clientData/>
  </xdr:twoCellAnchor>
  <xdr:twoCellAnchor>
    <xdr:from>
      <xdr:col>16</xdr:col>
      <xdr:colOff>57150</xdr:colOff>
      <xdr:row>20</xdr:row>
      <xdr:rowOff>12700</xdr:rowOff>
    </xdr:from>
    <xdr:to>
      <xdr:col>18</xdr:col>
      <xdr:colOff>755650</xdr:colOff>
      <xdr:row>38</xdr:row>
      <xdr:rowOff>146050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2F2AC24-A02C-4271-BFB8-ED3A09C12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16</xdr:col>
      <xdr:colOff>19050</xdr:colOff>
      <xdr:row>20</xdr:row>
      <xdr:rowOff>50800</xdr:rowOff>
    </xdr:from>
    <xdr:to>
      <xdr:col>18</xdr:col>
      <xdr:colOff>447948</xdr:colOff>
      <xdr:row>23</xdr:row>
      <xdr:rowOff>101600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31C1212-515E-4177-B024-3FAAE2B1D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11050" y="2984500"/>
          <a:ext cx="1952898" cy="565150"/>
        </a:xfrm>
        <a:prstGeom prst="rect">
          <a:avLst/>
        </a:prstGeom>
      </xdr:spPr>
    </xdr:pic>
    <xdr:clientData/>
  </xdr:twoCellAnchor>
  <xdr:twoCellAnchor editAs="oneCell">
    <xdr:from>
      <xdr:col>12</xdr:col>
      <xdr:colOff>211402</xdr:colOff>
      <xdr:row>4</xdr:row>
      <xdr:rowOff>17199</xdr:rowOff>
    </xdr:from>
    <xdr:to>
      <xdr:col>19</xdr:col>
      <xdr:colOff>6614</xdr:colOff>
      <xdr:row>8</xdr:row>
      <xdr:rowOff>6615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TIPO 2">
              <a:extLst>
                <a:ext uri="{FF2B5EF4-FFF2-40B4-BE49-F238E27FC236}">
                  <a16:creationId xmlns:a16="http://schemas.microsoft.com/office/drawing/2014/main" id="{F39BDB9E-2DA2-422E-9FA0-711A24DF40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39527" y="705116"/>
              <a:ext cx="5119952" cy="6839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ménica Nicole Villalva" refreshedDate="45769.621111111112" createdVersion="8" refreshedVersion="8" minRefreshableVersion="3" recordCount="86" xr:uid="{A3E7BA41-CECC-4ED5-98C1-EB8A8DBFDEF1}">
  <cacheSource type="worksheet">
    <worksheetSource ref="A1:J196" sheet="BASE"/>
  </cacheSource>
  <cacheFields count="8">
    <cacheField name="AÑO" numFmtId="0">
      <sharedItems containsSemiMixedTypes="0" containsString="0" containsNumber="1" containsInteger="1" minValue="2025" maxValue="2025"/>
    </cacheField>
    <cacheField name="TIPO" numFmtId="0">
      <sharedItems/>
    </cacheField>
    <cacheField name="PROYECTO" numFmtId="0">
      <sharedItems count="86">
        <s v="Tendencias Marketing de Espacios Comerciales"/>
        <s v="Tendencias Ingeniería Civil"/>
        <s v="Tendencias Doctorado en Innovación"/>
        <s v="Tendencias Maestría en Ciencias de la Construcción en Arquitectura"/>
        <s v="Tendencias EDCO Trading, Manejo de Divisas y Forex"/>
        <s v="Tendencias EDCO Preparación Física y Nutrición Deportiva"/>
        <s v="Tendencias EDCO Ingles para Medicos"/>
        <s v="Tendencias EDCO Biotecnología Aplicado a la Agricultura"/>
        <s v="Tendencias Bachillerato y Licenciatura en Criminología"/>
        <s v="OPINA Estudiantes"/>
        <s v="Social Pulse"/>
        <s v="Marketshare"/>
        <s v="Alumnos Nuevos"/>
        <s v="Mi Primera Experiencia"/>
        <s v="No Documentados"/>
        <s v="Tracking de Marca"/>
        <s v="BC Ingeniería Civil"/>
        <s v="BC Clubs"/>
        <s v="BC Social Pulse"/>
        <s v="OPINA Costa Rica"/>
        <s v="BC Sinergía"/>
        <s v="BC Medicina Propedeutico"/>
        <s v="BC Optativas Salud"/>
        <s v="Cualitativo Ingenierías"/>
        <s v="Encuesta Medicina/Derecho"/>
        <s v="Simulación Programación Académica Salud/Medicina"/>
        <s v="Post Mortem"/>
        <s v="Marketshare derecho"/>
        <s v="Inv de Mercado Global Business Management Cuantitativo y Cualitativo"/>
        <s v="Competencia Precios"/>
        <s v="Automatización de Udemy"/>
        <s v="BC Preuniversitario Medicina"/>
        <s v="BC Fundaulatina"/>
        <s v="Empleabilidad"/>
        <s v="Dataverso"/>
        <s v="Encuesta de Satisfacción Programación académica"/>
        <s v="Encuesta Docentes UDLA para la vida"/>
        <s v="UDEMY CR"/>
        <s v="Encuestas electivas NODO"/>
        <s v="OSLO"/>
        <s v="AOV CR"/>
        <s v="PPT Ciencias de la Salud"/>
        <s v="BC Veterinaria"/>
        <s v="Análisis de Mercado Enfermería"/>
        <s v="Expansión Comercial para Medicina"/>
        <s v="Competencias Maestria en Vet"/>
        <s v="BC Tracking de Marca y Cliente Fantasma"/>
        <s v="Inv de Mercados Maestria en Estrategia Liderazgo e Innovación en el sector electrico"/>
        <s v="Hepatología Inv de Mercados"/>
        <s v="Inv de Mercados Doctorado en Administración"/>
        <s v="Tendencias en Anestesiología ginecobstetricia"/>
        <s v="Tendencoas cirugia oncológica"/>
        <s v="Tendencias Anestecia pediatrica"/>
        <s v="Tendencias Agronegocios"/>
        <s v="Tendencias Maestría en Educación"/>
        <s v="Tendencias Maestria en Educación enfasis en Administración Educativa"/>
        <s v="Tendencias Maestria en Educación enfasis en Curriculum"/>
        <s v="Tendencias Maestría en Educación enfasis en tecnología educativa"/>
        <s v="Tendencias Maestría en Educación enfasis innovación educativa"/>
        <s v="Tendencias Maestría en Educación enfasis evaluación educativa"/>
        <s v="Tendencias Maestría en Educación enfasis Andragogia"/>
        <s v="Tendencias Maestría en Educación enfasis docencia"/>
        <s v="Tendencia Maestría en Sostenibilidad y Cambio climatico"/>
        <s v="Tendencias cambio de Nombre Comunicación Politica"/>
        <s v="Tendencias Maestria en Diseño Urbano"/>
        <s v="Tendencias Sistemas Integrados de Calidad"/>
        <s v="Pandora"/>
        <s v="Proformas de competencia Biomédica / Electromecánica / Mecánica"/>
        <s v="Mi Primera Experiencia 25.10"/>
        <s v="Precios Ingeniería Electromedicina"/>
        <s v="Precios Bachillerato En Gastronomía"/>
        <s v="Precios Diplomado En Gastronomía"/>
        <s v="Precios Bachillerato y Licenciatura En Economía"/>
        <s v="Precios Bachillerato y Licenciatura En La Enseñanza Del Ingles"/>
        <s v="Precios Licenciatura En Psicología"/>
        <s v="Precios Bachillerato En Periodismo"/>
        <s v="Precios Bachillerato y Licenciatura En Trabajo Social"/>
        <s v="Precios Bachillerato En Preescolar Bilingüe"/>
        <s v="Precios Licenciatura En Ingeniería Civil"/>
        <s v="Precios Bachillerato y Licenciatura Ingeniería Industrial"/>
        <s v="Precios Bachillerato Administración De Negocios"/>
        <s v="Precios Enfasis Industrial"/>
        <s v="Pruebas de habilidades y tecnicas"/>
        <s v="Inv de Mercados Medicina Interna"/>
        <s v="Inv de Mercados Especialización en Patología"/>
        <s v="Inv de Mercados Maestría en Sostenibilidad "/>
      </sharedItems>
    </cacheField>
    <cacheField name="DESCRIPCIÓN" numFmtId="0">
      <sharedItems containsBlank="1"/>
    </cacheField>
    <cacheField name="ENCARGADO" numFmtId="0">
      <sharedItems count="5">
        <s v="Dillan"/>
        <s v="Dome"/>
        <s v="Andrei"/>
        <s v="David"/>
        <s v="Martin"/>
      </sharedItems>
    </cacheField>
    <cacheField name="EQUIPO DE SOPORTE" numFmtId="0">
      <sharedItems containsBlank="1"/>
    </cacheField>
    <cacheField name="ESTADO" numFmtId="0">
      <sharedItems containsBlank="1" count="5">
        <s v="Completo"/>
        <s v="Stop"/>
        <s v="En proceso"/>
        <m/>
        <s v="Planificado"/>
      </sharedItems>
    </cacheField>
    <cacheField name="% COMPLETADO" numFmtId="0">
      <sharedItems containsString="0" containsBlank="1" containsNumber="1" minValue="0.5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ménica Nicole Villalva" refreshedDate="45769.621170949074" createdVersion="8" refreshedVersion="8" minRefreshableVersion="3" recordCount="83" xr:uid="{9A634EAD-A75D-4A85-9B03-8DEE33E2AFD2}">
  <cacheSource type="worksheet">
    <worksheetSource ref="A1:J84" sheet="BASE"/>
  </cacheSource>
  <cacheFields count="8">
    <cacheField name="AÑO" numFmtId="0">
      <sharedItems containsSemiMixedTypes="0" containsString="0" containsNumber="1" containsInteger="1" minValue="2025" maxValue="2025"/>
    </cacheField>
    <cacheField name="TIPO" numFmtId="0">
      <sharedItems count="4">
        <s v="Tendencias"/>
        <s v="Estudio Recurrente"/>
        <s v="Iniciativa"/>
        <s v="Solicitud Interna"/>
      </sharedItems>
    </cacheField>
    <cacheField name="PROYECTO" numFmtId="0">
      <sharedItems count="83">
        <s v="Tendencias Marketing de Espacios Comerciales"/>
        <s v="Tendencias Ingeniería Civil"/>
        <s v="Tendencias Doctorado en Innovación"/>
        <s v="Tendencias Maestría en Ciencias de la Construcción en Arquitectura"/>
        <s v="Tendencias EDCO Trading, Manejo de Divisas y Forex"/>
        <s v="Tendencias EDCO Preparación Física y Nutrición Deportiva"/>
        <s v="Tendencias EDCO Ingles para Medicos"/>
        <s v="Tendencias EDCO Biotecnología Aplicado a la Agricultura"/>
        <s v="Tendencias Bachillerato y Licenciatura en Criminología"/>
        <s v="OPINA Estudiantes"/>
        <s v="Social Pulse"/>
        <s v="Marketshare"/>
        <s v="Alumnos Nuevos"/>
        <s v="Mi Primera Experiencia"/>
        <s v="No Documentados"/>
        <s v="Tracking de Marca"/>
        <s v="BC Ingeniería Civil"/>
        <s v="BC Clubs"/>
        <s v="BC Social Pulse"/>
        <s v="OPINA Costa Rica"/>
        <s v="BC Sinergía"/>
        <s v="BC Medicina Propedeutico"/>
        <s v="BC Optativas Salud"/>
        <s v="Cualitativo Ingenierías"/>
        <s v="Encuesta Medicina/Derecho"/>
        <s v="Simulación Programación Académica Salud/Medicina"/>
        <s v="Post Mortem"/>
        <s v="Marketshare derecho"/>
        <s v="Inv de Mercado Global Business Management Cuantitativo y Cualitativo"/>
        <s v="Competencia Precios"/>
        <s v="Automatización de Udemy"/>
        <s v="BC Preuniversitario Medicina"/>
        <s v="BC Fundaulatina"/>
        <s v="Empleabilidad"/>
        <s v="Dataverso"/>
        <s v="Encuesta de Satisfacción Programación académica"/>
        <s v="Encuesta Docentes UDLA para la vida"/>
        <s v="UDEMY CR"/>
        <s v="Encuestas electivas NODO"/>
        <s v="OSLO"/>
        <s v="AOV CR"/>
        <s v="PPT Ciencias de la Salud"/>
        <s v="BC Veterinaria"/>
        <s v="Análisis de Mercado Enfermería"/>
        <s v="Expansión Comercial para Medicina"/>
        <s v="Competencias Maestria en Vet"/>
        <s v="BC Tracking de Marca y Cliente Fantasma"/>
        <s v="Inv de Mercados Maestria en Estrategia Liderazgo e Innovación en el sector electrico"/>
        <s v="Hepatología Inv de Mercados"/>
        <s v="Inv de Mercados Doctorado en Administración"/>
        <s v="Tendencias en Anestesiología ginecobstetricia"/>
        <s v="Tendencoas cirugia oncológica"/>
        <s v="Tendencias Anestecia pediatrica"/>
        <s v="Tendencias Agronegocios"/>
        <s v="Tendencias Maestría en Educación"/>
        <s v="Tendencias Maestria en Educación enfasis en Administración Educativa"/>
        <s v="Tendencias Maestria en Educación enfasis en Curriculum"/>
        <s v="Tendencias Maestría en Educación enfasis en tecnología educativa"/>
        <s v="Tendencias Maestría en Educación enfasis innovación educativa"/>
        <s v="Tendencias Maestría en Educación enfasis evaluación educativa"/>
        <s v="Tendencias Maestría en Educación enfasis Andragogia"/>
        <s v="Tendencias Maestría en Educación enfasis docencia"/>
        <s v="Tendencia Maestría en Sostenibilidad y Cambio climatico"/>
        <s v="Tendencias cambio de Nombre Comunicación Politica"/>
        <s v="Tendencias Maestria en Diseño Urbano"/>
        <s v="Tendencias Sistemas Integrados de Calidad"/>
        <s v="Pandora"/>
        <s v="Proformas de competencia Biomédica / Electromecánica / Mecánica"/>
        <s v="Mi Primera Experiencia 25.10"/>
        <s v="Precios Ingeniería Electromedicina"/>
        <s v="Precios Bachillerato En Gastronomía"/>
        <s v="Precios Diplomado En Gastronomía"/>
        <s v="Precios Bachillerato y Licenciatura En Economía"/>
        <s v="Precios Bachillerato y Licenciatura En La Enseñanza Del Ingles"/>
        <s v="Precios Licenciatura En Psicología"/>
        <s v="Precios Bachillerato En Periodismo"/>
        <s v="Precios Bachillerato y Licenciatura En Trabajo Social"/>
        <s v="Precios Bachillerato En Preescolar Bilingüe"/>
        <s v="Precios Licenciatura En Ingeniería Civil"/>
        <s v="Precios Bachillerato y Licenciatura Ingeniería Industrial"/>
        <s v="Precios Bachillerato Administración De Negocios"/>
        <s v="Precios Enfasis Industrial"/>
        <s v="Pruebas de habilidades y tecnicas"/>
      </sharedItems>
    </cacheField>
    <cacheField name="DESCRIPCIÓN" numFmtId="0">
      <sharedItems containsBlank="1"/>
    </cacheField>
    <cacheField name="ENCARGADO" numFmtId="0">
      <sharedItems count="5">
        <s v="Dillan"/>
        <s v="Dome"/>
        <s v="Andrei"/>
        <s v="David"/>
        <s v="Martin"/>
      </sharedItems>
    </cacheField>
    <cacheField name="EQUIPO DE SOPORTE" numFmtId="0">
      <sharedItems containsBlank="1" count="5">
        <s v="Dome"/>
        <s v="Pasantes/Dillan"/>
        <m/>
        <s v="Pasantes"/>
        <s v="Dillan"/>
      </sharedItems>
    </cacheField>
    <cacheField name="ESTADO" numFmtId="0">
      <sharedItems containsBlank="1" count="5">
        <s v="Completo"/>
        <s v="Stop"/>
        <s v="En proceso"/>
        <m/>
        <s v="Planificado"/>
      </sharedItems>
    </cacheField>
    <cacheField name="% COMPLETADO" numFmtId="0">
      <sharedItems containsString="0" containsBlank="1" containsNumber="1" minValue="0.5" maxValue="1"/>
    </cacheField>
  </cacheFields>
  <extLst>
    <ext xmlns:x14="http://schemas.microsoft.com/office/spreadsheetml/2009/9/main" uri="{725AE2AE-9491-48be-B2B4-4EB974FC3084}">
      <x14:pivotCacheDefinition pivotCacheId="177128438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ménica Nicole Villalva" refreshedDate="45791.496691203705" createdVersion="8" refreshedVersion="8" minRefreshableVersion="3" recordCount="100" xr:uid="{9558A9D1-202E-4577-97ED-A78B5A36BE24}">
  <cacheSource type="worksheet">
    <worksheetSource name="Tabla1"/>
  </cacheSource>
  <cacheFields count="10">
    <cacheField name="AÑO" numFmtId="0">
      <sharedItems containsSemiMixedTypes="0" containsString="0" containsNumber="1" containsInteger="1" minValue="2025" maxValue="2025"/>
    </cacheField>
    <cacheField name="Clasificación de Proyectos" numFmtId="0">
      <sharedItems containsNonDate="0" containsString="0" containsBlank="1"/>
    </cacheField>
    <cacheField name="TIPO" numFmtId="0">
      <sharedItems/>
    </cacheField>
    <cacheField name="PROYECTO" numFmtId="0">
      <sharedItems count="17">
        <s v="Tendencias"/>
        <s v="OPINA"/>
        <s v="Social Pulse"/>
        <s v="MarketShare+Precios"/>
        <s v="ALUMNOS NUEVOS"/>
        <s v="BUYER PERSONA"/>
        <s v="NO DOCUMENTADOS"/>
        <s v="TRACKING DE MARCA"/>
        <s v="Business Cases"/>
        <s v="Investigación de Mercados"/>
        <s v="INICIATIVA"/>
        <s v="Post Mortem Mercado"/>
        <s v="AUTOMATIZACIONES"/>
        <s v="EMPLEABILIDAD"/>
        <s v="DATAVERSO"/>
        <s v="Requerimientos"/>
        <s v="Proforma"/>
      </sharedItems>
    </cacheField>
    <cacheField name="MINI PROYECTO" numFmtId="0">
      <sharedItems/>
    </cacheField>
    <cacheField name="DESCRIPCIÓN" numFmtId="0">
      <sharedItems containsBlank="1"/>
    </cacheField>
    <cacheField name="ENCARGADO" numFmtId="0">
      <sharedItems/>
    </cacheField>
    <cacheField name="EQUIPO DE SOPORTE" numFmtId="0">
      <sharedItems containsBlank="1"/>
    </cacheField>
    <cacheField name="ESTADO" numFmtId="0">
      <sharedItems containsBlank="1"/>
    </cacheField>
    <cacheField name="% COMPLETADO" numFmtId="0">
      <sharedItems containsString="0" containsBlank="1" containsNumber="1" minValue="0.5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n v="2025"/>
    <s v="Tendencias"/>
    <x v="0"/>
    <s v="Estudio de Viabilidad"/>
    <x v="0"/>
    <s v="Dome"/>
    <x v="0"/>
    <n v="1"/>
  </r>
  <r>
    <n v="2025"/>
    <s v="Tendencias"/>
    <x v="1"/>
    <s v="Estudio de Viabilidad"/>
    <x v="0"/>
    <s v="Dome"/>
    <x v="0"/>
    <n v="1"/>
  </r>
  <r>
    <n v="2025"/>
    <s v="Tendencias"/>
    <x v="2"/>
    <s v="Estudio de Viabilidad"/>
    <x v="0"/>
    <s v="Dome"/>
    <x v="0"/>
    <n v="1"/>
  </r>
  <r>
    <n v="2025"/>
    <s v="Tendencias"/>
    <x v="3"/>
    <s v="Estudio de Viabilidad"/>
    <x v="0"/>
    <s v="Dome"/>
    <x v="0"/>
    <n v="1"/>
  </r>
  <r>
    <n v="2025"/>
    <s v="Tendencias"/>
    <x v="4"/>
    <s v="Estudio de Viabilidad"/>
    <x v="0"/>
    <s v="Dome"/>
    <x v="0"/>
    <n v="1"/>
  </r>
  <r>
    <n v="2025"/>
    <s v="Tendencias"/>
    <x v="5"/>
    <s v="Estudio de Viabilidad"/>
    <x v="0"/>
    <s v="Dome"/>
    <x v="0"/>
    <n v="1"/>
  </r>
  <r>
    <n v="2025"/>
    <s v="Tendencias"/>
    <x v="6"/>
    <s v="Estudio de Viabilidad"/>
    <x v="0"/>
    <s v="Dome"/>
    <x v="0"/>
    <n v="1"/>
  </r>
  <r>
    <n v="2025"/>
    <s v="Tendencias"/>
    <x v="7"/>
    <s v="Estudio de Viabilidad"/>
    <x v="0"/>
    <s v="Dome"/>
    <x v="0"/>
    <n v="1"/>
  </r>
  <r>
    <n v="2025"/>
    <s v="Tendencias"/>
    <x v="8"/>
    <s v="Estudio de Viabilidad"/>
    <x v="0"/>
    <s v="Dome"/>
    <x v="0"/>
    <n v="1"/>
  </r>
  <r>
    <n v="2025"/>
    <s v="Estudio Recurrente"/>
    <x v="9"/>
    <m/>
    <x v="1"/>
    <s v="Pasantes/Dillan"/>
    <x v="0"/>
    <n v="1"/>
  </r>
  <r>
    <n v="2025"/>
    <s v="Iniciativa"/>
    <x v="10"/>
    <m/>
    <x v="2"/>
    <s v="Dome"/>
    <x v="1"/>
    <m/>
  </r>
  <r>
    <n v="2025"/>
    <s v="Iniciativa"/>
    <x v="11"/>
    <m/>
    <x v="1"/>
    <m/>
    <x v="2"/>
    <m/>
  </r>
  <r>
    <n v="2025"/>
    <s v="Estudio Recurrente"/>
    <x v="12"/>
    <m/>
    <x v="1"/>
    <s v="Pasantes"/>
    <x v="3"/>
    <m/>
  </r>
  <r>
    <n v="2025"/>
    <s v="Estudio Recurrente"/>
    <x v="13"/>
    <m/>
    <x v="1"/>
    <s v="Pasantes"/>
    <x v="3"/>
    <m/>
  </r>
  <r>
    <n v="2025"/>
    <s v="Estudio Recurrente"/>
    <x v="14"/>
    <m/>
    <x v="1"/>
    <s v="Pasantes"/>
    <x v="3"/>
    <m/>
  </r>
  <r>
    <n v="2025"/>
    <s v="Estudio Recurrente"/>
    <x v="15"/>
    <m/>
    <x v="1"/>
    <s v="Dillan"/>
    <x v="3"/>
    <m/>
  </r>
  <r>
    <n v="2025"/>
    <s v="Iniciativa"/>
    <x v="16"/>
    <m/>
    <x v="1"/>
    <s v="Pasantes"/>
    <x v="0"/>
    <n v="1"/>
  </r>
  <r>
    <n v="2025"/>
    <s v="Iniciativa"/>
    <x v="17"/>
    <m/>
    <x v="0"/>
    <m/>
    <x v="0"/>
    <n v="1"/>
  </r>
  <r>
    <n v="2025"/>
    <s v="Iniciativa"/>
    <x v="18"/>
    <m/>
    <x v="1"/>
    <m/>
    <x v="0"/>
    <n v="1"/>
  </r>
  <r>
    <n v="2025"/>
    <s v="Iniciativa"/>
    <x v="19"/>
    <m/>
    <x v="1"/>
    <s v="Dillan"/>
    <x v="2"/>
    <m/>
  </r>
  <r>
    <n v="2025"/>
    <s v="Iniciativa"/>
    <x v="20"/>
    <m/>
    <x v="1"/>
    <s v="Dillan"/>
    <x v="0"/>
    <n v="1"/>
  </r>
  <r>
    <n v="2025"/>
    <s v="Iniciativa"/>
    <x v="21"/>
    <m/>
    <x v="1"/>
    <m/>
    <x v="0"/>
    <n v="1"/>
  </r>
  <r>
    <n v="2025"/>
    <s v="Iniciativa"/>
    <x v="22"/>
    <m/>
    <x v="0"/>
    <s v="Dome"/>
    <x v="0"/>
    <n v="1"/>
  </r>
  <r>
    <n v="2025"/>
    <s v="Iniciativa"/>
    <x v="23"/>
    <m/>
    <x v="3"/>
    <m/>
    <x v="0"/>
    <n v="1"/>
  </r>
  <r>
    <n v="2025"/>
    <s v="Solicitud Interna"/>
    <x v="24"/>
    <m/>
    <x v="4"/>
    <m/>
    <x v="0"/>
    <n v="1"/>
  </r>
  <r>
    <n v="2025"/>
    <s v="Iniciativa"/>
    <x v="25"/>
    <m/>
    <x v="2"/>
    <s v="Dome"/>
    <x v="2"/>
    <n v="0.5"/>
  </r>
  <r>
    <n v="2025"/>
    <s v="Solicitud Interna"/>
    <x v="26"/>
    <m/>
    <x v="1"/>
    <m/>
    <x v="0"/>
    <n v="1"/>
  </r>
  <r>
    <n v="2025"/>
    <s v="Solicitud Interna"/>
    <x v="27"/>
    <m/>
    <x v="1"/>
    <m/>
    <x v="0"/>
    <n v="1"/>
  </r>
  <r>
    <n v="2025"/>
    <s v="Solicitud Interna"/>
    <x v="28"/>
    <m/>
    <x v="0"/>
    <m/>
    <x v="0"/>
    <n v="1"/>
  </r>
  <r>
    <n v="2025"/>
    <s v="Estudio Recurrente"/>
    <x v="29"/>
    <m/>
    <x v="3"/>
    <s v="Dillan"/>
    <x v="2"/>
    <n v="0.9"/>
  </r>
  <r>
    <n v="2025"/>
    <s v="Iniciativa"/>
    <x v="30"/>
    <m/>
    <x v="2"/>
    <m/>
    <x v="0"/>
    <n v="1"/>
  </r>
  <r>
    <n v="2025"/>
    <s v="Iniciativa"/>
    <x v="31"/>
    <m/>
    <x v="0"/>
    <s v="Dome"/>
    <x v="0"/>
    <n v="1"/>
  </r>
  <r>
    <n v="2025"/>
    <s v="Iniciativa"/>
    <x v="32"/>
    <m/>
    <x v="0"/>
    <s v="Dome"/>
    <x v="0"/>
    <n v="1"/>
  </r>
  <r>
    <n v="2025"/>
    <s v="Estudio Recurrente"/>
    <x v="33"/>
    <m/>
    <x v="1"/>
    <m/>
    <x v="4"/>
    <m/>
  </r>
  <r>
    <n v="2025"/>
    <s v="Iniciativa"/>
    <x v="34"/>
    <m/>
    <x v="1"/>
    <m/>
    <x v="4"/>
    <m/>
  </r>
  <r>
    <n v="2025"/>
    <s v="Solicitud Interna"/>
    <x v="35"/>
    <m/>
    <x v="1"/>
    <m/>
    <x v="0"/>
    <n v="1"/>
  </r>
  <r>
    <n v="2025"/>
    <s v="Solicitud Interna"/>
    <x v="36"/>
    <m/>
    <x v="4"/>
    <s v="Dome"/>
    <x v="0"/>
    <n v="1"/>
  </r>
  <r>
    <n v="2025"/>
    <s v="Solicitud Interna"/>
    <x v="37"/>
    <m/>
    <x v="1"/>
    <s v="Dillan"/>
    <x v="0"/>
    <n v="1"/>
  </r>
  <r>
    <n v="2025"/>
    <s v="Solicitud Interna"/>
    <x v="38"/>
    <m/>
    <x v="1"/>
    <m/>
    <x v="0"/>
    <n v="1"/>
  </r>
  <r>
    <n v="2025"/>
    <s v="Solicitud Interna"/>
    <x v="39"/>
    <m/>
    <x v="1"/>
    <m/>
    <x v="0"/>
    <n v="1"/>
  </r>
  <r>
    <n v="2025"/>
    <s v="Solicitud Interna"/>
    <x v="40"/>
    <m/>
    <x v="1"/>
    <s v="Dillan"/>
    <x v="0"/>
    <n v="1"/>
  </r>
  <r>
    <n v="2025"/>
    <s v="Solicitud Interna"/>
    <x v="41"/>
    <m/>
    <x v="1"/>
    <s v="Pasantes/Dillan"/>
    <x v="0"/>
    <n v="1"/>
  </r>
  <r>
    <n v="2025"/>
    <s v="Iniciativa"/>
    <x v="42"/>
    <m/>
    <x v="0"/>
    <s v="Dome"/>
    <x v="0"/>
    <n v="1"/>
  </r>
  <r>
    <n v="2025"/>
    <s v="Iniciativa"/>
    <x v="43"/>
    <m/>
    <x v="3"/>
    <s v="Dome"/>
    <x v="0"/>
    <n v="1"/>
  </r>
  <r>
    <n v="2025"/>
    <s v="Iniciativa"/>
    <x v="44"/>
    <m/>
    <x v="1"/>
    <m/>
    <x v="0"/>
    <n v="1"/>
  </r>
  <r>
    <n v="2025"/>
    <s v="Solicitud Interna"/>
    <x v="45"/>
    <m/>
    <x v="0"/>
    <m/>
    <x v="0"/>
    <n v="1"/>
  </r>
  <r>
    <n v="2025"/>
    <s v="Solicitud Interna"/>
    <x v="46"/>
    <m/>
    <x v="1"/>
    <m/>
    <x v="0"/>
    <n v="1"/>
  </r>
  <r>
    <n v="2025"/>
    <s v="Solicitud Interna"/>
    <x v="47"/>
    <s v="Investigación de Mercados"/>
    <x v="0"/>
    <s v="Dome"/>
    <x v="0"/>
    <n v="1"/>
  </r>
  <r>
    <n v="2025"/>
    <s v="Solicitud Interna"/>
    <x v="48"/>
    <s v="Investigación de Mercados"/>
    <x v="0"/>
    <s v="Dome"/>
    <x v="0"/>
    <n v="1"/>
  </r>
  <r>
    <n v="2025"/>
    <s v="Solicitud Interna"/>
    <x v="49"/>
    <s v="Investigación de Mercados"/>
    <x v="0"/>
    <s v="Dome"/>
    <x v="0"/>
    <n v="1"/>
  </r>
  <r>
    <n v="2025"/>
    <s v="Tendencias"/>
    <x v="50"/>
    <s v="Estudio de Viabilidad"/>
    <x v="0"/>
    <s v="Dome"/>
    <x v="0"/>
    <n v="1"/>
  </r>
  <r>
    <n v="2025"/>
    <s v="Tendencias"/>
    <x v="51"/>
    <s v="Estudio de Viabilidad"/>
    <x v="0"/>
    <s v="Dome"/>
    <x v="0"/>
    <n v="1"/>
  </r>
  <r>
    <n v="2025"/>
    <s v="Tendencias"/>
    <x v="52"/>
    <s v="Estudio de Viabilidad"/>
    <x v="0"/>
    <s v="Dome"/>
    <x v="0"/>
    <n v="1"/>
  </r>
  <r>
    <n v="2025"/>
    <s v="Tendencias"/>
    <x v="53"/>
    <s v="Estudio de Viabilidad"/>
    <x v="0"/>
    <s v="Dome"/>
    <x v="0"/>
    <n v="1"/>
  </r>
  <r>
    <n v="2025"/>
    <s v="Tendencias"/>
    <x v="54"/>
    <s v="Estudio de Viabilidad"/>
    <x v="0"/>
    <s v="Dome"/>
    <x v="0"/>
    <n v="1"/>
  </r>
  <r>
    <n v="2025"/>
    <s v="Tendencias"/>
    <x v="55"/>
    <s v="Estudio de Viabilidad"/>
    <x v="0"/>
    <s v="Dome"/>
    <x v="0"/>
    <n v="1"/>
  </r>
  <r>
    <n v="2025"/>
    <s v="Tendencias"/>
    <x v="56"/>
    <s v="Estudio de Viabilidad"/>
    <x v="0"/>
    <s v="Dome"/>
    <x v="0"/>
    <n v="1"/>
  </r>
  <r>
    <n v="2025"/>
    <s v="Tendencias"/>
    <x v="57"/>
    <s v="Estudio de Viabilidad"/>
    <x v="0"/>
    <s v="Dome"/>
    <x v="0"/>
    <n v="1"/>
  </r>
  <r>
    <n v="2025"/>
    <s v="Tendencias"/>
    <x v="58"/>
    <s v="Estudio de Viabilidad"/>
    <x v="0"/>
    <s v="Dome"/>
    <x v="0"/>
    <n v="1"/>
  </r>
  <r>
    <n v="2025"/>
    <s v="Tendencias"/>
    <x v="59"/>
    <s v="Estudio de Viabilidad"/>
    <x v="0"/>
    <s v="Dome"/>
    <x v="0"/>
    <n v="1"/>
  </r>
  <r>
    <n v="2025"/>
    <s v="Tendencias"/>
    <x v="60"/>
    <s v="Estudio de Viabilidad"/>
    <x v="0"/>
    <s v="Dome"/>
    <x v="0"/>
    <n v="1"/>
  </r>
  <r>
    <n v="2025"/>
    <s v="Tendencias"/>
    <x v="61"/>
    <s v="Estudio de Viabilidad"/>
    <x v="0"/>
    <s v="Dome"/>
    <x v="0"/>
    <n v="1"/>
  </r>
  <r>
    <n v="2025"/>
    <s v="Tendencias"/>
    <x v="62"/>
    <s v="Estudio de Viabilidad"/>
    <x v="0"/>
    <s v="Dome"/>
    <x v="0"/>
    <n v="1"/>
  </r>
  <r>
    <n v="2025"/>
    <s v="Tendencias"/>
    <x v="63"/>
    <s v="Estudio de Viabilidad"/>
    <x v="0"/>
    <s v="Dome"/>
    <x v="0"/>
    <n v="1"/>
  </r>
  <r>
    <n v="2025"/>
    <s v="Tendencias"/>
    <x v="64"/>
    <s v="Estudio de Viabilidad"/>
    <x v="0"/>
    <s v="Dome"/>
    <x v="0"/>
    <n v="1"/>
  </r>
  <r>
    <n v="2025"/>
    <s v="Tendencias"/>
    <x v="65"/>
    <s v="Estudio de Viabilidad"/>
    <x v="0"/>
    <s v="Dome"/>
    <x v="0"/>
    <n v="1"/>
  </r>
  <r>
    <n v="2025"/>
    <s v="Solicitud Interna"/>
    <x v="66"/>
    <s v="Investigación Cualitativa"/>
    <x v="0"/>
    <s v="Dome"/>
    <x v="0"/>
    <n v="1"/>
  </r>
  <r>
    <n v="2025"/>
    <s v="Solicitud Interna"/>
    <x v="67"/>
    <s v="Levantamiento de Precios"/>
    <x v="4"/>
    <s v="Dillan"/>
    <x v="0"/>
    <n v="1"/>
  </r>
  <r>
    <n v="2025"/>
    <s v="Estudio Recurrente"/>
    <x v="68"/>
    <s v="Estudio Mixto"/>
    <x v="1"/>
    <m/>
    <x v="0"/>
    <n v="1"/>
  </r>
  <r>
    <n v="2025"/>
    <s v="Solicitud Interna"/>
    <x v="69"/>
    <s v="Levantamiento de Precios"/>
    <x v="3"/>
    <s v="Dillan"/>
    <x v="0"/>
    <n v="1"/>
  </r>
  <r>
    <n v="2025"/>
    <s v="Solicitud Interna"/>
    <x v="70"/>
    <s v="Levantamiento de Precios"/>
    <x v="3"/>
    <s v="Dillan"/>
    <x v="0"/>
    <n v="1"/>
  </r>
  <r>
    <n v="2025"/>
    <s v="Solicitud Interna"/>
    <x v="71"/>
    <s v="Levantamiento de Precios"/>
    <x v="3"/>
    <s v="Dillan"/>
    <x v="0"/>
    <n v="1"/>
  </r>
  <r>
    <n v="2025"/>
    <s v="Solicitud Interna"/>
    <x v="72"/>
    <s v="Levantamiento de Precios"/>
    <x v="3"/>
    <s v="Dillan"/>
    <x v="0"/>
    <n v="1"/>
  </r>
  <r>
    <n v="2025"/>
    <s v="Solicitud Interna"/>
    <x v="73"/>
    <s v="Levantamiento de Precios"/>
    <x v="3"/>
    <s v="Dillan"/>
    <x v="0"/>
    <n v="1"/>
  </r>
  <r>
    <n v="2025"/>
    <s v="Solicitud Interna"/>
    <x v="74"/>
    <s v="Levantamiento de Precios"/>
    <x v="3"/>
    <s v="Dillan"/>
    <x v="0"/>
    <n v="1"/>
  </r>
  <r>
    <n v="2025"/>
    <s v="Solicitud Interna"/>
    <x v="75"/>
    <s v="Levantamiento de Precios"/>
    <x v="3"/>
    <s v="Dillan"/>
    <x v="0"/>
    <n v="1"/>
  </r>
  <r>
    <n v="2025"/>
    <s v="Solicitud Interna"/>
    <x v="76"/>
    <s v="Levantamiento de Precios"/>
    <x v="3"/>
    <s v="Dillan"/>
    <x v="0"/>
    <n v="1"/>
  </r>
  <r>
    <n v="2025"/>
    <s v="Solicitud Interna"/>
    <x v="77"/>
    <s v="Levantamiento de Precios"/>
    <x v="3"/>
    <s v="Dillan"/>
    <x v="0"/>
    <n v="1"/>
  </r>
  <r>
    <n v="2025"/>
    <s v="Solicitud Interna"/>
    <x v="78"/>
    <s v="Levantamiento de Precios"/>
    <x v="3"/>
    <s v="Dillan"/>
    <x v="0"/>
    <n v="1"/>
  </r>
  <r>
    <n v="2025"/>
    <s v="Solicitud Interna"/>
    <x v="79"/>
    <s v="Levantamiento de Precios"/>
    <x v="3"/>
    <s v="Dillan"/>
    <x v="0"/>
    <n v="1"/>
  </r>
  <r>
    <n v="2025"/>
    <s v="Solicitud Interna"/>
    <x v="80"/>
    <s v="Levantamiento de Precios"/>
    <x v="3"/>
    <s v="Dillan"/>
    <x v="0"/>
    <n v="1"/>
  </r>
  <r>
    <n v="2025"/>
    <s v="Solicitud Interna"/>
    <x v="81"/>
    <s v="Levantamiento de Precios"/>
    <x v="3"/>
    <s v="Dillan"/>
    <x v="0"/>
    <n v="1"/>
  </r>
  <r>
    <n v="2025"/>
    <s v="Solicitud Interna"/>
    <x v="82"/>
    <m/>
    <x v="4"/>
    <m/>
    <x v="0"/>
    <n v="1"/>
  </r>
  <r>
    <n v="2025"/>
    <s v="Solicitud Interna"/>
    <x v="83"/>
    <m/>
    <x v="0"/>
    <m/>
    <x v="2"/>
    <m/>
  </r>
  <r>
    <n v="2025"/>
    <s v="Solicitud Interna"/>
    <x v="84"/>
    <m/>
    <x v="0"/>
    <m/>
    <x v="2"/>
    <m/>
  </r>
  <r>
    <n v="2025"/>
    <s v="Solicitud Interna"/>
    <x v="85"/>
    <m/>
    <x v="0"/>
    <m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2025"/>
    <x v="0"/>
    <x v="0"/>
    <s v="Estudio de Viabilidad"/>
    <x v="0"/>
    <x v="0"/>
    <x v="0"/>
    <n v="1"/>
  </r>
  <r>
    <n v="2025"/>
    <x v="0"/>
    <x v="1"/>
    <s v="Estudio de Viabilidad"/>
    <x v="0"/>
    <x v="0"/>
    <x v="0"/>
    <n v="1"/>
  </r>
  <r>
    <n v="2025"/>
    <x v="0"/>
    <x v="2"/>
    <s v="Estudio de Viabilidad"/>
    <x v="0"/>
    <x v="0"/>
    <x v="0"/>
    <n v="1"/>
  </r>
  <r>
    <n v="2025"/>
    <x v="0"/>
    <x v="3"/>
    <s v="Estudio de Viabilidad"/>
    <x v="0"/>
    <x v="0"/>
    <x v="0"/>
    <n v="1"/>
  </r>
  <r>
    <n v="2025"/>
    <x v="0"/>
    <x v="4"/>
    <s v="Estudio de Viabilidad"/>
    <x v="0"/>
    <x v="0"/>
    <x v="0"/>
    <n v="1"/>
  </r>
  <r>
    <n v="2025"/>
    <x v="0"/>
    <x v="5"/>
    <s v="Estudio de Viabilidad"/>
    <x v="0"/>
    <x v="0"/>
    <x v="0"/>
    <n v="1"/>
  </r>
  <r>
    <n v="2025"/>
    <x v="0"/>
    <x v="6"/>
    <s v="Estudio de Viabilidad"/>
    <x v="0"/>
    <x v="0"/>
    <x v="0"/>
    <n v="1"/>
  </r>
  <r>
    <n v="2025"/>
    <x v="0"/>
    <x v="7"/>
    <s v="Estudio de Viabilidad"/>
    <x v="0"/>
    <x v="0"/>
    <x v="0"/>
    <n v="1"/>
  </r>
  <r>
    <n v="2025"/>
    <x v="0"/>
    <x v="8"/>
    <s v="Estudio de Viabilidad"/>
    <x v="0"/>
    <x v="0"/>
    <x v="0"/>
    <n v="1"/>
  </r>
  <r>
    <n v="2025"/>
    <x v="1"/>
    <x v="9"/>
    <m/>
    <x v="1"/>
    <x v="1"/>
    <x v="0"/>
    <n v="1"/>
  </r>
  <r>
    <n v="2025"/>
    <x v="2"/>
    <x v="10"/>
    <m/>
    <x v="2"/>
    <x v="0"/>
    <x v="1"/>
    <m/>
  </r>
  <r>
    <n v="2025"/>
    <x v="2"/>
    <x v="11"/>
    <m/>
    <x v="1"/>
    <x v="2"/>
    <x v="2"/>
    <m/>
  </r>
  <r>
    <n v="2025"/>
    <x v="1"/>
    <x v="12"/>
    <m/>
    <x v="1"/>
    <x v="3"/>
    <x v="3"/>
    <m/>
  </r>
  <r>
    <n v="2025"/>
    <x v="1"/>
    <x v="13"/>
    <m/>
    <x v="1"/>
    <x v="3"/>
    <x v="3"/>
    <m/>
  </r>
  <r>
    <n v="2025"/>
    <x v="1"/>
    <x v="14"/>
    <m/>
    <x v="1"/>
    <x v="3"/>
    <x v="3"/>
    <m/>
  </r>
  <r>
    <n v="2025"/>
    <x v="1"/>
    <x v="15"/>
    <m/>
    <x v="1"/>
    <x v="4"/>
    <x v="3"/>
    <m/>
  </r>
  <r>
    <n v="2025"/>
    <x v="2"/>
    <x v="16"/>
    <m/>
    <x v="1"/>
    <x v="3"/>
    <x v="0"/>
    <n v="1"/>
  </r>
  <r>
    <n v="2025"/>
    <x v="2"/>
    <x v="17"/>
    <m/>
    <x v="0"/>
    <x v="2"/>
    <x v="0"/>
    <n v="1"/>
  </r>
  <r>
    <n v="2025"/>
    <x v="2"/>
    <x v="18"/>
    <m/>
    <x v="1"/>
    <x v="2"/>
    <x v="0"/>
    <n v="1"/>
  </r>
  <r>
    <n v="2025"/>
    <x v="2"/>
    <x v="19"/>
    <m/>
    <x v="1"/>
    <x v="4"/>
    <x v="2"/>
    <m/>
  </r>
  <r>
    <n v="2025"/>
    <x v="2"/>
    <x v="20"/>
    <m/>
    <x v="1"/>
    <x v="4"/>
    <x v="0"/>
    <n v="1"/>
  </r>
  <r>
    <n v="2025"/>
    <x v="2"/>
    <x v="21"/>
    <m/>
    <x v="1"/>
    <x v="2"/>
    <x v="0"/>
    <n v="1"/>
  </r>
  <r>
    <n v="2025"/>
    <x v="2"/>
    <x v="22"/>
    <m/>
    <x v="0"/>
    <x v="0"/>
    <x v="0"/>
    <n v="1"/>
  </r>
  <r>
    <n v="2025"/>
    <x v="2"/>
    <x v="23"/>
    <m/>
    <x v="3"/>
    <x v="2"/>
    <x v="0"/>
    <n v="1"/>
  </r>
  <r>
    <n v="2025"/>
    <x v="3"/>
    <x v="24"/>
    <m/>
    <x v="4"/>
    <x v="2"/>
    <x v="0"/>
    <n v="1"/>
  </r>
  <r>
    <n v="2025"/>
    <x v="2"/>
    <x v="25"/>
    <m/>
    <x v="2"/>
    <x v="0"/>
    <x v="2"/>
    <n v="0.5"/>
  </r>
  <r>
    <n v="2025"/>
    <x v="3"/>
    <x v="26"/>
    <m/>
    <x v="1"/>
    <x v="2"/>
    <x v="0"/>
    <n v="1"/>
  </r>
  <r>
    <n v="2025"/>
    <x v="3"/>
    <x v="27"/>
    <m/>
    <x v="1"/>
    <x v="2"/>
    <x v="0"/>
    <n v="1"/>
  </r>
  <r>
    <n v="2025"/>
    <x v="3"/>
    <x v="28"/>
    <m/>
    <x v="0"/>
    <x v="2"/>
    <x v="0"/>
    <n v="1"/>
  </r>
  <r>
    <n v="2025"/>
    <x v="1"/>
    <x v="29"/>
    <m/>
    <x v="3"/>
    <x v="4"/>
    <x v="2"/>
    <n v="0.9"/>
  </r>
  <r>
    <n v="2025"/>
    <x v="2"/>
    <x v="30"/>
    <m/>
    <x v="2"/>
    <x v="2"/>
    <x v="0"/>
    <n v="1"/>
  </r>
  <r>
    <n v="2025"/>
    <x v="2"/>
    <x v="31"/>
    <m/>
    <x v="0"/>
    <x v="0"/>
    <x v="0"/>
    <n v="1"/>
  </r>
  <r>
    <n v="2025"/>
    <x v="2"/>
    <x v="32"/>
    <m/>
    <x v="0"/>
    <x v="0"/>
    <x v="0"/>
    <n v="1"/>
  </r>
  <r>
    <n v="2025"/>
    <x v="1"/>
    <x v="33"/>
    <m/>
    <x v="1"/>
    <x v="2"/>
    <x v="4"/>
    <m/>
  </r>
  <r>
    <n v="2025"/>
    <x v="2"/>
    <x v="34"/>
    <m/>
    <x v="1"/>
    <x v="2"/>
    <x v="4"/>
    <m/>
  </r>
  <r>
    <n v="2025"/>
    <x v="3"/>
    <x v="35"/>
    <m/>
    <x v="1"/>
    <x v="2"/>
    <x v="0"/>
    <n v="1"/>
  </r>
  <r>
    <n v="2025"/>
    <x v="3"/>
    <x v="36"/>
    <m/>
    <x v="4"/>
    <x v="0"/>
    <x v="0"/>
    <n v="1"/>
  </r>
  <r>
    <n v="2025"/>
    <x v="3"/>
    <x v="37"/>
    <m/>
    <x v="1"/>
    <x v="4"/>
    <x v="0"/>
    <n v="1"/>
  </r>
  <r>
    <n v="2025"/>
    <x v="3"/>
    <x v="38"/>
    <m/>
    <x v="1"/>
    <x v="2"/>
    <x v="0"/>
    <n v="1"/>
  </r>
  <r>
    <n v="2025"/>
    <x v="3"/>
    <x v="39"/>
    <m/>
    <x v="1"/>
    <x v="2"/>
    <x v="0"/>
    <n v="1"/>
  </r>
  <r>
    <n v="2025"/>
    <x v="3"/>
    <x v="40"/>
    <m/>
    <x v="1"/>
    <x v="4"/>
    <x v="0"/>
    <n v="1"/>
  </r>
  <r>
    <n v="2025"/>
    <x v="3"/>
    <x v="41"/>
    <m/>
    <x v="1"/>
    <x v="1"/>
    <x v="0"/>
    <n v="1"/>
  </r>
  <r>
    <n v="2025"/>
    <x v="2"/>
    <x v="42"/>
    <m/>
    <x v="0"/>
    <x v="0"/>
    <x v="0"/>
    <n v="1"/>
  </r>
  <r>
    <n v="2025"/>
    <x v="2"/>
    <x v="43"/>
    <m/>
    <x v="3"/>
    <x v="0"/>
    <x v="0"/>
    <n v="1"/>
  </r>
  <r>
    <n v="2025"/>
    <x v="2"/>
    <x v="44"/>
    <m/>
    <x v="1"/>
    <x v="2"/>
    <x v="0"/>
    <n v="1"/>
  </r>
  <r>
    <n v="2025"/>
    <x v="3"/>
    <x v="45"/>
    <m/>
    <x v="0"/>
    <x v="2"/>
    <x v="0"/>
    <n v="1"/>
  </r>
  <r>
    <n v="2025"/>
    <x v="3"/>
    <x v="46"/>
    <m/>
    <x v="1"/>
    <x v="2"/>
    <x v="0"/>
    <n v="1"/>
  </r>
  <r>
    <n v="2025"/>
    <x v="3"/>
    <x v="47"/>
    <s v="Investigación de Mercados"/>
    <x v="0"/>
    <x v="0"/>
    <x v="0"/>
    <n v="1"/>
  </r>
  <r>
    <n v="2025"/>
    <x v="3"/>
    <x v="48"/>
    <s v="Investigación de Mercados"/>
    <x v="0"/>
    <x v="0"/>
    <x v="0"/>
    <n v="1"/>
  </r>
  <r>
    <n v="2025"/>
    <x v="3"/>
    <x v="49"/>
    <s v="Investigación de Mercados"/>
    <x v="0"/>
    <x v="0"/>
    <x v="0"/>
    <n v="1"/>
  </r>
  <r>
    <n v="2025"/>
    <x v="0"/>
    <x v="50"/>
    <s v="Estudio de Viabilidad"/>
    <x v="0"/>
    <x v="0"/>
    <x v="0"/>
    <n v="1"/>
  </r>
  <r>
    <n v="2025"/>
    <x v="0"/>
    <x v="51"/>
    <s v="Estudio de Viabilidad"/>
    <x v="0"/>
    <x v="0"/>
    <x v="0"/>
    <n v="1"/>
  </r>
  <r>
    <n v="2025"/>
    <x v="0"/>
    <x v="52"/>
    <s v="Estudio de Viabilidad"/>
    <x v="0"/>
    <x v="0"/>
    <x v="0"/>
    <n v="1"/>
  </r>
  <r>
    <n v="2025"/>
    <x v="0"/>
    <x v="53"/>
    <s v="Estudio de Viabilidad"/>
    <x v="0"/>
    <x v="0"/>
    <x v="0"/>
    <n v="1"/>
  </r>
  <r>
    <n v="2025"/>
    <x v="0"/>
    <x v="54"/>
    <s v="Estudio de Viabilidad"/>
    <x v="0"/>
    <x v="0"/>
    <x v="0"/>
    <n v="1"/>
  </r>
  <r>
    <n v="2025"/>
    <x v="0"/>
    <x v="55"/>
    <s v="Estudio de Viabilidad"/>
    <x v="0"/>
    <x v="0"/>
    <x v="0"/>
    <n v="1"/>
  </r>
  <r>
    <n v="2025"/>
    <x v="0"/>
    <x v="56"/>
    <s v="Estudio de Viabilidad"/>
    <x v="0"/>
    <x v="0"/>
    <x v="0"/>
    <n v="1"/>
  </r>
  <r>
    <n v="2025"/>
    <x v="0"/>
    <x v="57"/>
    <s v="Estudio de Viabilidad"/>
    <x v="0"/>
    <x v="0"/>
    <x v="0"/>
    <n v="1"/>
  </r>
  <r>
    <n v="2025"/>
    <x v="0"/>
    <x v="58"/>
    <s v="Estudio de Viabilidad"/>
    <x v="0"/>
    <x v="0"/>
    <x v="0"/>
    <n v="1"/>
  </r>
  <r>
    <n v="2025"/>
    <x v="0"/>
    <x v="59"/>
    <s v="Estudio de Viabilidad"/>
    <x v="0"/>
    <x v="0"/>
    <x v="0"/>
    <n v="1"/>
  </r>
  <r>
    <n v="2025"/>
    <x v="0"/>
    <x v="60"/>
    <s v="Estudio de Viabilidad"/>
    <x v="0"/>
    <x v="0"/>
    <x v="0"/>
    <n v="1"/>
  </r>
  <r>
    <n v="2025"/>
    <x v="0"/>
    <x v="61"/>
    <s v="Estudio de Viabilidad"/>
    <x v="0"/>
    <x v="0"/>
    <x v="0"/>
    <n v="1"/>
  </r>
  <r>
    <n v="2025"/>
    <x v="0"/>
    <x v="62"/>
    <s v="Estudio de Viabilidad"/>
    <x v="0"/>
    <x v="0"/>
    <x v="0"/>
    <n v="1"/>
  </r>
  <r>
    <n v="2025"/>
    <x v="0"/>
    <x v="63"/>
    <s v="Estudio de Viabilidad"/>
    <x v="0"/>
    <x v="0"/>
    <x v="0"/>
    <n v="1"/>
  </r>
  <r>
    <n v="2025"/>
    <x v="0"/>
    <x v="64"/>
    <s v="Estudio de Viabilidad"/>
    <x v="0"/>
    <x v="0"/>
    <x v="0"/>
    <n v="1"/>
  </r>
  <r>
    <n v="2025"/>
    <x v="0"/>
    <x v="65"/>
    <s v="Estudio de Viabilidad"/>
    <x v="0"/>
    <x v="0"/>
    <x v="0"/>
    <n v="1"/>
  </r>
  <r>
    <n v="2025"/>
    <x v="3"/>
    <x v="66"/>
    <s v="Investigación Cualitativa"/>
    <x v="0"/>
    <x v="0"/>
    <x v="0"/>
    <n v="1"/>
  </r>
  <r>
    <n v="2025"/>
    <x v="3"/>
    <x v="67"/>
    <s v="Levantamiento de Precios"/>
    <x v="4"/>
    <x v="4"/>
    <x v="0"/>
    <n v="1"/>
  </r>
  <r>
    <n v="2025"/>
    <x v="1"/>
    <x v="68"/>
    <s v="Estudio Mixto"/>
    <x v="1"/>
    <x v="2"/>
    <x v="0"/>
    <n v="1"/>
  </r>
  <r>
    <n v="2025"/>
    <x v="3"/>
    <x v="69"/>
    <s v="Levantamiento de Precios"/>
    <x v="3"/>
    <x v="4"/>
    <x v="0"/>
    <n v="1"/>
  </r>
  <r>
    <n v="2025"/>
    <x v="3"/>
    <x v="70"/>
    <s v="Levantamiento de Precios"/>
    <x v="3"/>
    <x v="4"/>
    <x v="0"/>
    <n v="1"/>
  </r>
  <r>
    <n v="2025"/>
    <x v="3"/>
    <x v="71"/>
    <s v="Levantamiento de Precios"/>
    <x v="3"/>
    <x v="4"/>
    <x v="0"/>
    <n v="1"/>
  </r>
  <r>
    <n v="2025"/>
    <x v="3"/>
    <x v="72"/>
    <s v="Levantamiento de Precios"/>
    <x v="3"/>
    <x v="4"/>
    <x v="0"/>
    <n v="1"/>
  </r>
  <r>
    <n v="2025"/>
    <x v="3"/>
    <x v="73"/>
    <s v="Levantamiento de Precios"/>
    <x v="3"/>
    <x v="4"/>
    <x v="0"/>
    <n v="1"/>
  </r>
  <r>
    <n v="2025"/>
    <x v="3"/>
    <x v="74"/>
    <s v="Levantamiento de Precios"/>
    <x v="3"/>
    <x v="4"/>
    <x v="0"/>
    <n v="1"/>
  </r>
  <r>
    <n v="2025"/>
    <x v="3"/>
    <x v="75"/>
    <s v="Levantamiento de Precios"/>
    <x v="3"/>
    <x v="4"/>
    <x v="0"/>
    <n v="1"/>
  </r>
  <r>
    <n v="2025"/>
    <x v="3"/>
    <x v="76"/>
    <s v="Levantamiento de Precios"/>
    <x v="3"/>
    <x v="4"/>
    <x v="0"/>
    <n v="1"/>
  </r>
  <r>
    <n v="2025"/>
    <x v="3"/>
    <x v="77"/>
    <s v="Levantamiento de Precios"/>
    <x v="3"/>
    <x v="4"/>
    <x v="0"/>
    <n v="1"/>
  </r>
  <r>
    <n v="2025"/>
    <x v="3"/>
    <x v="78"/>
    <s v="Levantamiento de Precios"/>
    <x v="3"/>
    <x v="4"/>
    <x v="0"/>
    <n v="1"/>
  </r>
  <r>
    <n v="2025"/>
    <x v="3"/>
    <x v="79"/>
    <s v="Levantamiento de Precios"/>
    <x v="3"/>
    <x v="4"/>
    <x v="0"/>
    <n v="1"/>
  </r>
  <r>
    <n v="2025"/>
    <x v="3"/>
    <x v="80"/>
    <s v="Levantamiento de Precios"/>
    <x v="3"/>
    <x v="4"/>
    <x v="0"/>
    <n v="1"/>
  </r>
  <r>
    <n v="2025"/>
    <x v="3"/>
    <x v="81"/>
    <s v="Levantamiento de Precios"/>
    <x v="3"/>
    <x v="4"/>
    <x v="0"/>
    <n v="1"/>
  </r>
  <r>
    <n v="2025"/>
    <x v="3"/>
    <x v="82"/>
    <m/>
    <x v="4"/>
    <x v="2"/>
    <x v="0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2025"/>
    <m/>
    <s v="Tendencias"/>
    <x v="0"/>
    <s v="Tendencias Marketing de Espacios Comerciales"/>
    <s v="Estudio de Viabilidad"/>
    <s v="Dillan"/>
    <s v="Dome"/>
    <s v="Completo"/>
    <n v="1"/>
  </r>
  <r>
    <n v="2025"/>
    <m/>
    <s v="Tendencias"/>
    <x v="0"/>
    <s v="Tendencias Ingeniería Civil"/>
    <s v="Estudio de Viabilidad"/>
    <s v="Dillan"/>
    <s v="Dome"/>
    <s v="Completo"/>
    <n v="1"/>
  </r>
  <r>
    <n v="2025"/>
    <m/>
    <s v="Tendencias"/>
    <x v="0"/>
    <s v="Tendencias Doctorado en Innovación"/>
    <s v="Estudio de Viabilidad"/>
    <s v="Dillan"/>
    <s v="Dome"/>
    <s v="Completo"/>
    <n v="1"/>
  </r>
  <r>
    <n v="2025"/>
    <m/>
    <s v="Tendencias"/>
    <x v="0"/>
    <s v="Tendencias Maestría en Ciencias de la Construcción en Arquitectura"/>
    <s v="Estudio de Viabilidad"/>
    <s v="Dillan"/>
    <s v="Dome"/>
    <s v="Completo"/>
    <n v="1"/>
  </r>
  <r>
    <n v="2025"/>
    <m/>
    <s v="Tendencias"/>
    <x v="0"/>
    <s v="Tendencias EDCO Trading, Manejo de Divisas y Forex"/>
    <s v="Estudio de Viabilidad"/>
    <s v="Dillan"/>
    <s v="Dome"/>
    <s v="Completo"/>
    <n v="1"/>
  </r>
  <r>
    <n v="2025"/>
    <m/>
    <s v="Tendencias"/>
    <x v="0"/>
    <s v="Tendencias EDCO Preparación Física y Nutrición Deportiva"/>
    <s v="Estudio de Viabilidad"/>
    <s v="Dillan"/>
    <s v="Dome"/>
    <s v="Completo"/>
    <n v="1"/>
  </r>
  <r>
    <n v="2025"/>
    <m/>
    <s v="Tendencias"/>
    <x v="0"/>
    <s v="Tendencias EDCO Ingles para Medicos"/>
    <s v="Estudio de Viabilidad"/>
    <s v="Dillan"/>
    <s v="Dome"/>
    <s v="Completo"/>
    <n v="1"/>
  </r>
  <r>
    <n v="2025"/>
    <m/>
    <s v="Tendencias"/>
    <x v="0"/>
    <s v="Tendencias EDCO Biotecnología Aplicado a la Agricultura"/>
    <s v="Estudio de Viabilidad"/>
    <s v="Dillan"/>
    <s v="Dome"/>
    <s v="Completo"/>
    <n v="1"/>
  </r>
  <r>
    <n v="2025"/>
    <m/>
    <s v="Tendencias"/>
    <x v="0"/>
    <s v="Tendencias Bachillerato y Licenciatura en Criminología"/>
    <s v="Estudio de Viabilidad"/>
    <s v="Dillan"/>
    <s v="Dome"/>
    <s v="Completo"/>
    <n v="1"/>
  </r>
  <r>
    <n v="2025"/>
    <m/>
    <s v="Estudio Recurrente"/>
    <x v="1"/>
    <s v="OPINA Estudiantes"/>
    <m/>
    <s v="Dome"/>
    <s v="Pasantes/Dillan"/>
    <s v="Completo"/>
    <n v="1"/>
  </r>
  <r>
    <n v="2025"/>
    <m/>
    <s v="Iniciativa"/>
    <x v="2"/>
    <s v="Social Pulse"/>
    <m/>
    <s v="Andrei"/>
    <s v="Dome"/>
    <s v="En proceso"/>
    <m/>
  </r>
  <r>
    <n v="2025"/>
    <m/>
    <s v="Iniciativa"/>
    <x v="3"/>
    <s v="Marketshare"/>
    <m/>
    <s v="Dome"/>
    <m/>
    <s v="En proceso"/>
    <m/>
  </r>
  <r>
    <n v="2025"/>
    <m/>
    <s v="Estudio Recurrente"/>
    <x v="4"/>
    <s v="Alumnos Nuevos"/>
    <m/>
    <s v="Dome"/>
    <s v="Pasantes"/>
    <m/>
    <m/>
  </r>
  <r>
    <n v="2025"/>
    <m/>
    <s v="Estudio Recurrente"/>
    <x v="5"/>
    <s v="Mi Primera Experiencia"/>
    <m/>
    <s v="Dome"/>
    <m/>
    <s v="Planificado"/>
    <m/>
  </r>
  <r>
    <n v="2025"/>
    <m/>
    <s v="Estudio Recurrente"/>
    <x v="6"/>
    <s v="No Documentados"/>
    <m/>
    <s v="Dome"/>
    <s v="Pasantes"/>
    <m/>
    <m/>
  </r>
  <r>
    <n v="2025"/>
    <m/>
    <s v="Estudio Recurrente"/>
    <x v="7"/>
    <s v="Tracking de Marca"/>
    <m/>
    <s v="Dome"/>
    <s v="Dillan"/>
    <m/>
    <m/>
  </r>
  <r>
    <n v="2025"/>
    <m/>
    <s v="Iniciativa"/>
    <x v="8"/>
    <s v="BC Ingeniería Civil"/>
    <m/>
    <s v="Dome"/>
    <s v="Pasantes"/>
    <s v="Completo"/>
    <n v="1"/>
  </r>
  <r>
    <n v="2025"/>
    <m/>
    <s v="Iniciativa"/>
    <x v="8"/>
    <s v="BC Clubs"/>
    <m/>
    <s v="Dillan"/>
    <m/>
    <s v="Completo"/>
    <n v="1"/>
  </r>
  <r>
    <n v="2025"/>
    <m/>
    <s v="Iniciativa"/>
    <x v="8"/>
    <s v="BC Social Pulse"/>
    <m/>
    <s v="Dome"/>
    <m/>
    <s v="Completo"/>
    <n v="1"/>
  </r>
  <r>
    <n v="2025"/>
    <m/>
    <s v="Iniciativa"/>
    <x v="1"/>
    <s v="OPINA Costa Rica"/>
    <m/>
    <s v="Dome"/>
    <s v="Dillan"/>
    <s v="En proceso"/>
    <m/>
  </r>
  <r>
    <n v="2025"/>
    <m/>
    <s v="Iniciativa"/>
    <x v="8"/>
    <s v="BC Sinergía"/>
    <m/>
    <s v="Dome"/>
    <s v="Dillan"/>
    <s v="Completo"/>
    <n v="1"/>
  </r>
  <r>
    <n v="2025"/>
    <m/>
    <s v="Iniciativa"/>
    <x v="8"/>
    <s v="BC Medicina Propedeutico"/>
    <m/>
    <s v="Dome"/>
    <m/>
    <s v="Completo"/>
    <n v="1"/>
  </r>
  <r>
    <n v="2025"/>
    <m/>
    <s v="Iniciativa"/>
    <x v="8"/>
    <s v="BC Optativas Salud"/>
    <m/>
    <s v="Dillan"/>
    <s v="Dome"/>
    <s v="Completo"/>
    <n v="1"/>
  </r>
  <r>
    <n v="2025"/>
    <m/>
    <s v="Iniciativa"/>
    <x v="9"/>
    <s v="Cualitativo Ingenierías"/>
    <m/>
    <s v="David"/>
    <m/>
    <s v="Completo"/>
    <n v="1"/>
  </r>
  <r>
    <n v="2025"/>
    <m/>
    <s v="Solicitud Interna"/>
    <x v="9"/>
    <s v="Encuesta Medicina/Derecho"/>
    <m/>
    <s v="Martin"/>
    <m/>
    <s v="Completo"/>
    <n v="1"/>
  </r>
  <r>
    <n v="2025"/>
    <m/>
    <s v="Iniciativa"/>
    <x v="10"/>
    <s v="Simulación Programación Académica Salud/Medicina"/>
    <m/>
    <s v="Andrei"/>
    <s v="Dome"/>
    <s v="En proceso"/>
    <n v="0.5"/>
  </r>
  <r>
    <n v="2025"/>
    <m/>
    <s v="Solicitud Interna"/>
    <x v="11"/>
    <s v="Post Mortem"/>
    <m/>
    <s v="Dome"/>
    <m/>
    <s v="Completo"/>
    <n v="1"/>
  </r>
  <r>
    <n v="2025"/>
    <m/>
    <s v="Solicitud Interna"/>
    <x v="3"/>
    <s v="Marketshare derecho"/>
    <m/>
    <s v="Dome"/>
    <m/>
    <s v="Completo"/>
    <n v="1"/>
  </r>
  <r>
    <n v="2025"/>
    <m/>
    <s v="Solicitud Interna"/>
    <x v="9"/>
    <s v="Inv de Mercado Global Business Management Cuantitativo y Cualitativo"/>
    <m/>
    <s v="Dillan"/>
    <m/>
    <s v="Completo"/>
    <n v="1"/>
  </r>
  <r>
    <n v="2025"/>
    <m/>
    <s v="Estudio Recurrente"/>
    <x v="3"/>
    <s v="Competencia Precios"/>
    <m/>
    <s v="David"/>
    <s v="Dillan"/>
    <s v="En proceso"/>
    <n v="0.9"/>
  </r>
  <r>
    <n v="2025"/>
    <m/>
    <s v="Iniciativa"/>
    <x v="12"/>
    <s v="Automatización de Udemy"/>
    <m/>
    <s v="Andrei"/>
    <m/>
    <s v="Completo"/>
    <n v="1"/>
  </r>
  <r>
    <n v="2025"/>
    <m/>
    <s v="Iniciativa"/>
    <x v="8"/>
    <s v="BC Preuniversitario Medicina"/>
    <m/>
    <s v="Dillan"/>
    <s v="Dome"/>
    <s v="Completo"/>
    <n v="1"/>
  </r>
  <r>
    <n v="2025"/>
    <m/>
    <s v="Iniciativa"/>
    <x v="8"/>
    <s v="BC Fundaulatina"/>
    <m/>
    <s v="Dillan"/>
    <s v="Dome"/>
    <s v="Completo"/>
    <n v="1"/>
  </r>
  <r>
    <n v="2025"/>
    <m/>
    <s v="Estudio Recurrente"/>
    <x v="13"/>
    <s v="Empleabilidad"/>
    <m/>
    <s v="Dome"/>
    <m/>
    <s v="Planificado"/>
    <m/>
  </r>
  <r>
    <n v="2025"/>
    <m/>
    <s v="Iniciativa"/>
    <x v="14"/>
    <s v="Dataverso"/>
    <m/>
    <s v="Dome"/>
    <m/>
    <s v="Planificado"/>
    <m/>
  </r>
  <r>
    <n v="2025"/>
    <m/>
    <s v="Solicitud Interna"/>
    <x v="15"/>
    <s v="Encuesta de Satisfacción Programación académica"/>
    <m/>
    <s v="Dome"/>
    <m/>
    <s v="Completo"/>
    <n v="1"/>
  </r>
  <r>
    <n v="2025"/>
    <m/>
    <s v="Solicitud Interna"/>
    <x v="15"/>
    <s v="Encuesta Docentes UDLA para la vida"/>
    <m/>
    <s v="Martin"/>
    <s v="Dome"/>
    <s v="Completo"/>
    <n v="1"/>
  </r>
  <r>
    <n v="2025"/>
    <m/>
    <s v="Solicitud Interna"/>
    <x v="15"/>
    <s v="UDEMY CR"/>
    <m/>
    <s v="Dome"/>
    <s v="Dillan"/>
    <s v="Completo"/>
    <n v="1"/>
  </r>
  <r>
    <n v="2025"/>
    <m/>
    <s v="Solicitud Interna"/>
    <x v="15"/>
    <s v="Encuestas electivas NODO"/>
    <m/>
    <s v="Dome"/>
    <m/>
    <s v="Completo"/>
    <n v="1"/>
  </r>
  <r>
    <n v="2025"/>
    <m/>
    <s v="Solicitud Interna"/>
    <x v="12"/>
    <s v="OSLO"/>
    <m/>
    <s v="Dome"/>
    <m/>
    <s v="Completo"/>
    <n v="1"/>
  </r>
  <r>
    <n v="2025"/>
    <m/>
    <s v="Solicitud Interna"/>
    <x v="12"/>
    <s v="AOV CR"/>
    <m/>
    <s v="Dome"/>
    <s v="Dillan"/>
    <s v="Completo"/>
    <n v="1"/>
  </r>
  <r>
    <n v="2025"/>
    <m/>
    <s v="Solicitud Interna"/>
    <x v="8"/>
    <s v="PPT Ciencias de la Salud"/>
    <m/>
    <s v="Dome"/>
    <s v="Pasantes/Dillan"/>
    <s v="Completo"/>
    <n v="1"/>
  </r>
  <r>
    <n v="2025"/>
    <m/>
    <s v="Iniciativa"/>
    <x v="8"/>
    <s v="BC Veterinaria"/>
    <m/>
    <s v="Dillan"/>
    <s v="Dome"/>
    <s v="Completo"/>
    <n v="1"/>
  </r>
  <r>
    <n v="2025"/>
    <m/>
    <s v="Iniciativa"/>
    <x v="15"/>
    <s v="Análisis de Mercado Enfermería"/>
    <m/>
    <s v="David"/>
    <s v="Dome"/>
    <s v="Completo"/>
    <n v="1"/>
  </r>
  <r>
    <n v="2025"/>
    <m/>
    <s v="Iniciativa"/>
    <x v="8"/>
    <s v="Expansión Comercial para Medicina"/>
    <m/>
    <s v="Dome"/>
    <m/>
    <s v="Completo"/>
    <n v="1"/>
  </r>
  <r>
    <n v="2025"/>
    <m/>
    <s v="Solicitud Interna"/>
    <x v="16"/>
    <s v="Competencias Maestria en Vet"/>
    <m/>
    <s v="Dillan"/>
    <m/>
    <s v="Completo"/>
    <n v="1"/>
  </r>
  <r>
    <n v="2025"/>
    <m/>
    <s v="Solicitud Interna"/>
    <x v="8"/>
    <s v="BC Tracking de Marca y Cliente Fantasma"/>
    <m/>
    <s v="Dome"/>
    <m/>
    <s v="Completo"/>
    <n v="1"/>
  </r>
  <r>
    <n v="2025"/>
    <m/>
    <s v="Solicitud Interna"/>
    <x v="9"/>
    <s v="Inv de Mercados Maestria en Estrategia Liderazgo e Innovación en el sector electrico"/>
    <s v="Investigación de Mercados"/>
    <s v="Dillan"/>
    <s v="Dome"/>
    <s v="Completo"/>
    <n v="1"/>
  </r>
  <r>
    <n v="2025"/>
    <m/>
    <s v="Solicitud Interna"/>
    <x v="9"/>
    <s v="Hepatología Inv de Mercados"/>
    <s v="Investigación de Mercados"/>
    <s v="Dillan"/>
    <s v="Dome"/>
    <s v="Completo"/>
    <n v="1"/>
  </r>
  <r>
    <n v="2025"/>
    <m/>
    <s v="Solicitud Interna"/>
    <x v="9"/>
    <s v="Inv de Mercados Doctorado en Administración"/>
    <s v="Investigación de Mercados"/>
    <s v="Dillan"/>
    <s v="Dome"/>
    <s v="Completo"/>
    <n v="1"/>
  </r>
  <r>
    <n v="2025"/>
    <m/>
    <s v="Tendencias"/>
    <x v="0"/>
    <s v="Tendencias en Anestesiología ginecobstetricia"/>
    <s v="Estudio de Viabilidad"/>
    <s v="Dillan"/>
    <s v="Dome"/>
    <s v="Completo"/>
    <n v="1"/>
  </r>
  <r>
    <n v="2025"/>
    <m/>
    <s v="Tendencias"/>
    <x v="0"/>
    <s v="Tendencoas cirugia oncológica"/>
    <s v="Estudio de Viabilidad"/>
    <s v="Dillan"/>
    <s v="Dome"/>
    <s v="Completo"/>
    <n v="1"/>
  </r>
  <r>
    <n v="2025"/>
    <m/>
    <s v="Tendencias"/>
    <x v="0"/>
    <s v="Tendencias Anestecia pediatrica"/>
    <s v="Estudio de Viabilidad"/>
    <s v="Dillan"/>
    <s v="Dome"/>
    <s v="Completo"/>
    <n v="1"/>
  </r>
  <r>
    <n v="2025"/>
    <m/>
    <s v="Tendencias"/>
    <x v="0"/>
    <s v="Tendencias Agronegocios"/>
    <s v="Estudio de Viabilidad"/>
    <s v="Dillan"/>
    <s v="Dome"/>
    <s v="Completo"/>
    <n v="1"/>
  </r>
  <r>
    <n v="2025"/>
    <m/>
    <s v="Tendencias"/>
    <x v="0"/>
    <s v="Tendencias Maestría en Educación"/>
    <s v="Estudio de Viabilidad"/>
    <s v="Dillan"/>
    <s v="Dome"/>
    <s v="Completo"/>
    <n v="1"/>
  </r>
  <r>
    <n v="2025"/>
    <m/>
    <s v="Tendencias"/>
    <x v="0"/>
    <s v="Tendencias Maestria en Educación enfasis en Administración Educativa"/>
    <s v="Estudio de Viabilidad"/>
    <s v="Dillan"/>
    <s v="Dome"/>
    <s v="Completo"/>
    <n v="1"/>
  </r>
  <r>
    <n v="2025"/>
    <m/>
    <s v="Tendencias"/>
    <x v="0"/>
    <s v="Tendencias Maestria en Educación enfasis en Curriculum"/>
    <s v="Estudio de Viabilidad"/>
    <s v="Dillan"/>
    <s v="Dome"/>
    <s v="Completo"/>
    <n v="1"/>
  </r>
  <r>
    <n v="2025"/>
    <m/>
    <s v="Tendencias"/>
    <x v="0"/>
    <s v="Tendencias Maestría en Educación enfasis en tecnología educativa"/>
    <s v="Estudio de Viabilidad"/>
    <s v="Dillan"/>
    <s v="Dome"/>
    <s v="Completo"/>
    <n v="1"/>
  </r>
  <r>
    <n v="2025"/>
    <m/>
    <s v="Tendencias"/>
    <x v="0"/>
    <s v="Tendencias Maestría en Educación enfasis innovación educativa"/>
    <s v="Estudio de Viabilidad"/>
    <s v="Dillan"/>
    <s v="Dome"/>
    <s v="Completo"/>
    <n v="1"/>
  </r>
  <r>
    <n v="2025"/>
    <m/>
    <s v="Tendencias"/>
    <x v="0"/>
    <s v="Tendencias Maestría en Educación enfasis evaluación educativa"/>
    <s v="Estudio de Viabilidad"/>
    <s v="Dillan"/>
    <s v="Dome"/>
    <s v="Completo"/>
    <n v="1"/>
  </r>
  <r>
    <n v="2025"/>
    <m/>
    <s v="Tendencias"/>
    <x v="0"/>
    <s v="Tendencias Maestría en Educación enfasis Andragogia"/>
    <s v="Estudio de Viabilidad"/>
    <s v="Dillan"/>
    <s v="Dome"/>
    <s v="Completo"/>
    <n v="1"/>
  </r>
  <r>
    <n v="2025"/>
    <m/>
    <s v="Tendencias"/>
    <x v="0"/>
    <s v="Tendencias Maestría en Educación enfasis docencia"/>
    <s v="Estudio de Viabilidad"/>
    <s v="Dillan"/>
    <s v="Dome"/>
    <s v="Completo"/>
    <n v="1"/>
  </r>
  <r>
    <n v="2025"/>
    <m/>
    <s v="Tendencias"/>
    <x v="0"/>
    <s v="Tendencia Maestría en Sostenibilidad y Cambio climatico"/>
    <s v="Estudio de Viabilidad"/>
    <s v="Dillan"/>
    <s v="Dome"/>
    <s v="Completo"/>
    <n v="1"/>
  </r>
  <r>
    <n v="2025"/>
    <m/>
    <s v="Tendencias"/>
    <x v="0"/>
    <s v="Tendencias cambio de Nombre Comunicación Politica"/>
    <s v="Estudio de Viabilidad"/>
    <s v="Dillan"/>
    <s v="Dome"/>
    <s v="Completo"/>
    <n v="1"/>
  </r>
  <r>
    <n v="2025"/>
    <m/>
    <s v="Tendencias"/>
    <x v="0"/>
    <s v="Tendencias Maestria en Diseño Urbano"/>
    <s v="Estudio de Viabilidad"/>
    <s v="Dillan"/>
    <s v="Dome"/>
    <s v="Completo"/>
    <n v="1"/>
  </r>
  <r>
    <n v="2025"/>
    <m/>
    <s v="Tendencias"/>
    <x v="0"/>
    <s v="Tendencias Sistemas Integrados de Calidad"/>
    <s v="Estudio de Viabilidad"/>
    <s v="Dillan"/>
    <s v="Dome"/>
    <s v="Completo"/>
    <n v="1"/>
  </r>
  <r>
    <n v="2025"/>
    <m/>
    <s v="Solicitud Interna"/>
    <x v="6"/>
    <s v="Pandora"/>
    <s v="Investigación Cualitativa"/>
    <s v="Dillan"/>
    <s v="Dome"/>
    <s v="Completo"/>
    <n v="1"/>
  </r>
  <r>
    <n v="2025"/>
    <m/>
    <s v="Solicitud Interna"/>
    <x v="16"/>
    <s v="Proformas de competencia Biomédica / Electromecánica / Mecánica"/>
    <s v="Levantamiento de Precios"/>
    <s v="Martin"/>
    <s v="Dillan"/>
    <s v="Completo"/>
    <n v="1"/>
  </r>
  <r>
    <n v="2025"/>
    <m/>
    <s v="Estudio Recurrente"/>
    <x v="5"/>
    <s v="Mi Primera Experiencia 25.10"/>
    <s v="Estudio Mixto"/>
    <s v="Dome"/>
    <m/>
    <s v="Completo"/>
    <n v="1"/>
  </r>
  <r>
    <n v="2025"/>
    <m/>
    <s v="Solicitud Interna"/>
    <x v="16"/>
    <s v="Precios Ingeniería Electromedicina"/>
    <s v="Levantamiento de Precios"/>
    <s v="David"/>
    <s v="Dillan"/>
    <s v="Completo"/>
    <n v="1"/>
  </r>
  <r>
    <n v="2025"/>
    <m/>
    <s v="Solicitud Interna"/>
    <x v="16"/>
    <s v="Precios Bachillerato En Gastronomía"/>
    <s v="Levantamiento de Precios"/>
    <s v="David"/>
    <s v="Dillan"/>
    <s v="Completo"/>
    <n v="1"/>
  </r>
  <r>
    <n v="2025"/>
    <m/>
    <s v="Solicitud Interna"/>
    <x v="16"/>
    <s v="Precios Diplomado En Gastronomía"/>
    <s v="Levantamiento de Precios"/>
    <s v="David"/>
    <s v="Dillan"/>
    <s v="Completo"/>
    <n v="1"/>
  </r>
  <r>
    <n v="2025"/>
    <m/>
    <s v="Solicitud Interna"/>
    <x v="16"/>
    <s v="Precios Bachillerato y Licenciatura En Economía"/>
    <s v="Levantamiento de Precios"/>
    <s v="David"/>
    <s v="Dillan"/>
    <s v="Completo"/>
    <n v="1"/>
  </r>
  <r>
    <n v="2025"/>
    <m/>
    <s v="Solicitud Interna"/>
    <x v="16"/>
    <s v="Precios Bachillerato y Licenciatura En La Enseñanza Del Ingles"/>
    <s v="Levantamiento de Precios"/>
    <s v="David"/>
    <s v="Dillan"/>
    <s v="Completo"/>
    <n v="1"/>
  </r>
  <r>
    <n v="2025"/>
    <m/>
    <s v="Solicitud Interna"/>
    <x v="16"/>
    <s v="Precios Licenciatura En Psicología"/>
    <s v="Levantamiento de Precios"/>
    <s v="David"/>
    <s v="Dillan"/>
    <s v="Completo"/>
    <n v="1"/>
  </r>
  <r>
    <n v="2025"/>
    <m/>
    <s v="Solicitud Interna"/>
    <x v="16"/>
    <s v="Precios Bachillerato En Periodismo"/>
    <s v="Levantamiento de Precios"/>
    <s v="David"/>
    <s v="Dillan"/>
    <s v="Completo"/>
    <n v="1"/>
  </r>
  <r>
    <n v="2025"/>
    <m/>
    <s v="Solicitud Interna"/>
    <x v="16"/>
    <s v="Precios Bachillerato y Licenciatura En Trabajo Social"/>
    <s v="Levantamiento de Precios"/>
    <s v="David"/>
    <s v="Dillan"/>
    <s v="Completo"/>
    <n v="1"/>
  </r>
  <r>
    <n v="2025"/>
    <m/>
    <s v="Solicitud Interna"/>
    <x v="16"/>
    <s v="Precios Bachillerato En Preescolar Bilingüe"/>
    <s v="Levantamiento de Precios"/>
    <s v="David"/>
    <s v="Dillan"/>
    <s v="Completo"/>
    <n v="1"/>
  </r>
  <r>
    <n v="2025"/>
    <m/>
    <s v="Solicitud Interna"/>
    <x v="16"/>
    <s v="Precios Licenciatura En Ingeniería Civil"/>
    <s v="Levantamiento de Precios"/>
    <s v="David"/>
    <s v="Dillan"/>
    <s v="Completo"/>
    <n v="1"/>
  </r>
  <r>
    <n v="2025"/>
    <m/>
    <s v="Solicitud Interna"/>
    <x v="16"/>
    <s v="Precios Bachillerato y Licenciatura Ingeniería Industrial"/>
    <s v="Levantamiento de Precios"/>
    <s v="David"/>
    <s v="Dillan"/>
    <s v="Completo"/>
    <n v="1"/>
  </r>
  <r>
    <n v="2025"/>
    <m/>
    <s v="Solicitud Interna"/>
    <x v="16"/>
    <s v="Precios Bachillerato Administración De Negocios"/>
    <s v="Levantamiento de Precios"/>
    <s v="David"/>
    <s v="Dillan"/>
    <s v="Completo"/>
    <n v="1"/>
  </r>
  <r>
    <n v="2025"/>
    <m/>
    <s v="Solicitud Interna"/>
    <x v="16"/>
    <s v="Precios Enfasis Industrial"/>
    <s v="Levantamiento de Precios"/>
    <s v="David"/>
    <s v="Dillan"/>
    <s v="Completo"/>
    <n v="1"/>
  </r>
  <r>
    <n v="2025"/>
    <m/>
    <s v="Solicitud Interna"/>
    <x v="15"/>
    <s v="Pruebas de habilidades y tecnicas"/>
    <m/>
    <s v="Martin"/>
    <m/>
    <s v="Completo"/>
    <n v="1"/>
  </r>
  <r>
    <n v="2025"/>
    <m/>
    <s v="Solicitud Interna"/>
    <x v="9"/>
    <s v="Inv de Mercados Medicina Interna"/>
    <m/>
    <s v="Dillan"/>
    <m/>
    <s v="En proceso"/>
    <m/>
  </r>
  <r>
    <n v="2025"/>
    <m/>
    <s v="Solicitud Interna"/>
    <x v="9"/>
    <s v="Inv de Mercados Especialización en Patología"/>
    <m/>
    <s v="Dillan"/>
    <m/>
    <s v="En proceso"/>
    <m/>
  </r>
  <r>
    <n v="2025"/>
    <m/>
    <s v="Solicitud Interna"/>
    <x v="9"/>
    <s v="Inv de Mercados Maestría en Sostenibilidad "/>
    <m/>
    <s v="Dillan"/>
    <m/>
    <s v="En proceso"/>
    <m/>
  </r>
  <r>
    <n v="2025"/>
    <m/>
    <s v="Iniciativa"/>
    <x v="10"/>
    <s v="Modelo de supervivencia"/>
    <m/>
    <s v="Dome"/>
    <m/>
    <s v="En proceso"/>
    <m/>
  </r>
  <r>
    <n v="2025"/>
    <m/>
    <s v="Solicitud Interna"/>
    <x v="11"/>
    <s v="Post Mortem FICA"/>
    <m/>
    <s v="Dome"/>
    <m/>
    <s v="Completo"/>
    <n v="1"/>
  </r>
  <r>
    <n v="2025"/>
    <m/>
    <s v="Solicitud Interna"/>
    <x v="11"/>
    <s v="Post Mortem Gastronomía"/>
    <m/>
    <s v="Dome"/>
    <m/>
    <s v="Completo"/>
    <n v="1"/>
  </r>
  <r>
    <n v="2025"/>
    <m/>
    <s v="Iniciativa"/>
    <x v="3"/>
    <s v="Homologación Market Share y Precios"/>
    <m/>
    <s v="Dillan"/>
    <m/>
    <s v="Completo"/>
    <n v="1"/>
  </r>
  <r>
    <n v="2025"/>
    <m/>
    <s v="Iniciativa"/>
    <x v="10"/>
    <s v="Heatmap Ubi"/>
    <m/>
    <s v="Dome"/>
    <s v="Andrei"/>
    <s v="En proceso"/>
    <m/>
  </r>
  <r>
    <n v="2025"/>
    <m/>
    <s v="Iniciativa"/>
    <x v="10"/>
    <s v="Track de noticias"/>
    <m/>
    <s v="Andrei"/>
    <m/>
    <s v="Planificado"/>
    <m/>
  </r>
  <r>
    <n v="2025"/>
    <m/>
    <s v="Iniciativa"/>
    <x v="10"/>
    <s v="Walkout"/>
    <m/>
    <s v="Dome"/>
    <m/>
    <s v="En proceso"/>
    <m/>
  </r>
  <r>
    <n v="2025"/>
    <m/>
    <s v="Iniciativa"/>
    <x v="10"/>
    <s v="APIS GOOGLE"/>
    <m/>
    <s v="Andrei"/>
    <m/>
    <s v="En proceso"/>
    <m/>
  </r>
  <r>
    <n v="2025"/>
    <m/>
    <s v="Solicitud Interna"/>
    <x v="11"/>
    <s v="Search Derecho"/>
    <m/>
    <s v="Dome"/>
    <m/>
    <s v="Completo"/>
    <n v="1"/>
  </r>
  <r>
    <n v="2025"/>
    <m/>
    <s v="Tendencias"/>
    <x v="0"/>
    <s v="Tendencias"/>
    <m/>
    <s v="Dillan"/>
    <m/>
    <s v="En proceso"/>
    <m/>
  </r>
  <r>
    <n v="2025"/>
    <m/>
    <s v="Solicitud Interna"/>
    <x v="9"/>
    <s v="IDM Agronegocios"/>
    <m/>
    <s v="Dillan"/>
    <m/>
    <s v="En proceso"/>
    <m/>
  </r>
  <r>
    <n v="2025"/>
    <m/>
    <s v="Estudio Recurrente"/>
    <x v="13"/>
    <s v="Flujo de encuestas empleabilidad "/>
    <m/>
    <s v="Dome"/>
    <m/>
    <s v="En proceso"/>
    <m/>
  </r>
  <r>
    <n v="2025"/>
    <m/>
    <s v="Iniciativa"/>
    <x v="3"/>
    <s v="Pasar MS y Precios a Dashboard"/>
    <m/>
    <s v="Dome"/>
    <m/>
    <s v="En proceso"/>
    <m/>
  </r>
  <r>
    <n v="2025"/>
    <m/>
    <s v="Solicitud Interna"/>
    <x v="11"/>
    <s v="Focus Derecho"/>
    <m/>
    <s v="Dome"/>
    <m/>
    <s v="En proceso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DA225C-1E53-4E5F-9D05-21CB4FE87226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15">
  <location ref="B41:C46" firstHeaderRow="1" firstDataRow="1" firstDataCol="1" rowPageCount="2" colPageCount="1"/>
  <pivotFields count="8">
    <pivotField showAll="0"/>
    <pivotField showAll="0">
      <items count="5">
        <item x="1"/>
        <item x="2"/>
        <item h="1" x="3"/>
        <item h="1" x="0"/>
        <item t="default"/>
      </items>
    </pivotField>
    <pivotField axis="axisRow" dataField="1" showAll="0">
      <items count="84">
        <item x="12"/>
        <item x="43"/>
        <item x="40"/>
        <item x="30"/>
        <item x="17"/>
        <item x="32"/>
        <item x="16"/>
        <item x="21"/>
        <item x="22"/>
        <item x="31"/>
        <item x="20"/>
        <item x="18"/>
        <item x="46"/>
        <item x="42"/>
        <item x="29"/>
        <item x="45"/>
        <item x="23"/>
        <item x="34"/>
        <item x="33"/>
        <item x="35"/>
        <item x="36"/>
        <item x="24"/>
        <item x="38"/>
        <item x="44"/>
        <item x="48"/>
        <item x="28"/>
        <item x="49"/>
        <item x="47"/>
        <item x="11"/>
        <item x="27"/>
        <item x="13"/>
        <item x="68"/>
        <item x="14"/>
        <item x="19"/>
        <item x="9"/>
        <item x="39"/>
        <item x="66"/>
        <item x="26"/>
        <item x="41"/>
        <item x="80"/>
        <item x="70"/>
        <item x="75"/>
        <item x="77"/>
        <item x="72"/>
        <item x="73"/>
        <item x="76"/>
        <item x="79"/>
        <item x="71"/>
        <item x="81"/>
        <item x="69"/>
        <item x="78"/>
        <item x="74"/>
        <item x="67"/>
        <item x="82"/>
        <item x="25"/>
        <item x="10"/>
        <item x="62"/>
        <item x="53"/>
        <item x="52"/>
        <item x="8"/>
        <item x="63"/>
        <item x="2"/>
        <item x="7"/>
        <item x="6"/>
        <item x="5"/>
        <item x="4"/>
        <item x="50"/>
        <item x="1"/>
        <item x="3"/>
        <item x="64"/>
        <item x="54"/>
        <item x="60"/>
        <item x="61"/>
        <item x="55"/>
        <item x="56"/>
        <item x="57"/>
        <item x="59"/>
        <item x="58"/>
        <item x="0"/>
        <item x="65"/>
        <item x="51"/>
        <item x="15"/>
        <item x="37"/>
        <item t="default"/>
      </items>
    </pivotField>
    <pivotField showAll="0"/>
    <pivotField axis="axisPage" multipleItemSelectionAllowed="1" showAll="0">
      <items count="6">
        <item h="1" x="2"/>
        <item h="1" x="3"/>
        <item h="1" x="0"/>
        <item x="1"/>
        <item h="1" x="4"/>
        <item t="default"/>
      </items>
    </pivotField>
    <pivotField showAll="0"/>
    <pivotField axis="axisPage" multipleItemSelectionAllowed="1" showAll="0">
      <items count="6">
        <item h="1" x="0"/>
        <item x="2"/>
        <item x="4"/>
        <item x="1"/>
        <item h="1" x="3"/>
        <item t="default"/>
      </items>
    </pivotField>
    <pivotField showAll="0"/>
  </pivotFields>
  <rowFields count="1">
    <field x="2"/>
  </rowFields>
  <rowItems count="5">
    <i>
      <x v="17"/>
    </i>
    <i>
      <x v="18"/>
    </i>
    <i>
      <x v="28"/>
    </i>
    <i>
      <x v="33"/>
    </i>
    <i t="grand">
      <x/>
    </i>
  </rowItems>
  <colItems count="1">
    <i/>
  </colItems>
  <pageFields count="2">
    <pageField fld="4" hier="-1"/>
    <pageField fld="6" hier="-1"/>
  </pageFields>
  <dataFields count="1">
    <dataField name="Cuenta de PROYECTO" fld="2" subtotal="count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35FED-4484-4582-B7BB-D4518F2C116D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23">
  <location ref="B62:C65" firstHeaderRow="1" firstDataRow="1" firstDataCol="1" rowPageCount="2" colPageCount="1"/>
  <pivotFields count="8">
    <pivotField showAll="0"/>
    <pivotField showAll="0"/>
    <pivotField axis="axisRow" dataField="1" showAll="0">
      <items count="87">
        <item x="12"/>
        <item x="43"/>
        <item x="40"/>
        <item x="30"/>
        <item x="17"/>
        <item x="32"/>
        <item x="16"/>
        <item x="21"/>
        <item x="22"/>
        <item x="31"/>
        <item x="20"/>
        <item x="18"/>
        <item x="46"/>
        <item x="42"/>
        <item x="29"/>
        <item x="45"/>
        <item x="23"/>
        <item x="34"/>
        <item x="33"/>
        <item x="35"/>
        <item x="36"/>
        <item x="24"/>
        <item x="38"/>
        <item x="44"/>
        <item x="48"/>
        <item x="28"/>
        <item x="49"/>
        <item x="47"/>
        <item x="11"/>
        <item x="27"/>
        <item x="13"/>
        <item x="68"/>
        <item x="14"/>
        <item x="19"/>
        <item x="9"/>
        <item x="39"/>
        <item x="66"/>
        <item x="26"/>
        <item x="41"/>
        <item x="80"/>
        <item x="70"/>
        <item x="75"/>
        <item x="77"/>
        <item x="72"/>
        <item x="73"/>
        <item x="76"/>
        <item x="79"/>
        <item x="71"/>
        <item x="81"/>
        <item x="69"/>
        <item x="78"/>
        <item x="74"/>
        <item x="67"/>
        <item x="82"/>
        <item x="25"/>
        <item x="10"/>
        <item x="62"/>
        <item x="53"/>
        <item x="52"/>
        <item x="8"/>
        <item x="63"/>
        <item x="2"/>
        <item x="7"/>
        <item x="6"/>
        <item x="5"/>
        <item x="4"/>
        <item x="50"/>
        <item x="1"/>
        <item x="3"/>
        <item x="64"/>
        <item x="54"/>
        <item x="60"/>
        <item x="61"/>
        <item x="55"/>
        <item x="56"/>
        <item x="57"/>
        <item x="59"/>
        <item x="58"/>
        <item x="0"/>
        <item x="65"/>
        <item x="51"/>
        <item x="15"/>
        <item x="37"/>
        <item x="83"/>
        <item x="84"/>
        <item x="85"/>
        <item t="default"/>
      </items>
    </pivotField>
    <pivotField showAll="0"/>
    <pivotField axis="axisPage" multipleItemSelectionAllowed="1" showAll="0">
      <items count="6">
        <item x="2"/>
        <item h="1" x="3"/>
        <item h="1" x="0"/>
        <item h="1" x="1"/>
        <item h="1" x="4"/>
        <item t="default"/>
      </items>
    </pivotField>
    <pivotField showAll="0"/>
    <pivotField axis="axisPage" multipleItemSelectionAllowed="1" showAll="0">
      <items count="6">
        <item h="1" x="0"/>
        <item x="2"/>
        <item x="4"/>
        <item x="1"/>
        <item h="1" x="3"/>
        <item t="default"/>
      </items>
    </pivotField>
    <pivotField showAll="0"/>
  </pivotFields>
  <rowFields count="1">
    <field x="2"/>
  </rowFields>
  <rowItems count="3">
    <i>
      <x v="54"/>
    </i>
    <i>
      <x v="55"/>
    </i>
    <i t="grand">
      <x/>
    </i>
  </rowItems>
  <colItems count="1">
    <i/>
  </colItems>
  <pageFields count="2">
    <pageField fld="4" hier="-1"/>
    <pageField fld="6" hier="-1"/>
  </pageFields>
  <dataFields count="1">
    <dataField name="Cuenta de PROYECTO" fld="2" subtotal="count" baseField="0" baseItem="0"/>
  </dataField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2A96F-817F-4509-A8B6-4C9CC6DFF2D8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29">
  <location ref="B71:C72" firstHeaderRow="1" firstDataRow="1" firstDataCol="1" rowPageCount="2" colPageCount="1"/>
  <pivotFields count="8">
    <pivotField showAll="0"/>
    <pivotField showAll="0"/>
    <pivotField axis="axisRow" dataField="1" showAll="0">
      <items count="87">
        <item x="12"/>
        <item x="43"/>
        <item x="40"/>
        <item x="30"/>
        <item x="17"/>
        <item x="32"/>
        <item x="16"/>
        <item x="21"/>
        <item x="22"/>
        <item x="31"/>
        <item x="20"/>
        <item x="18"/>
        <item x="46"/>
        <item x="42"/>
        <item x="29"/>
        <item x="45"/>
        <item x="23"/>
        <item x="34"/>
        <item x="33"/>
        <item x="35"/>
        <item x="36"/>
        <item x="24"/>
        <item x="38"/>
        <item x="44"/>
        <item x="48"/>
        <item x="28"/>
        <item x="49"/>
        <item x="47"/>
        <item x="11"/>
        <item x="27"/>
        <item x="13"/>
        <item x="68"/>
        <item x="14"/>
        <item x="19"/>
        <item x="9"/>
        <item x="39"/>
        <item x="66"/>
        <item x="26"/>
        <item x="41"/>
        <item x="80"/>
        <item x="70"/>
        <item x="75"/>
        <item x="77"/>
        <item x="72"/>
        <item x="73"/>
        <item x="76"/>
        <item x="79"/>
        <item x="71"/>
        <item x="81"/>
        <item x="69"/>
        <item x="78"/>
        <item x="74"/>
        <item x="67"/>
        <item x="82"/>
        <item x="25"/>
        <item x="10"/>
        <item x="62"/>
        <item x="53"/>
        <item x="52"/>
        <item x="8"/>
        <item x="63"/>
        <item x="2"/>
        <item x="7"/>
        <item x="6"/>
        <item x="5"/>
        <item x="4"/>
        <item x="50"/>
        <item x="1"/>
        <item x="3"/>
        <item x="64"/>
        <item x="54"/>
        <item x="60"/>
        <item x="61"/>
        <item x="55"/>
        <item x="56"/>
        <item x="57"/>
        <item x="59"/>
        <item x="58"/>
        <item x="0"/>
        <item x="65"/>
        <item x="51"/>
        <item x="15"/>
        <item x="37"/>
        <item x="83"/>
        <item x="84"/>
        <item x="85"/>
        <item t="default"/>
      </items>
    </pivotField>
    <pivotField showAll="0"/>
    <pivotField axis="axisPage" multipleItemSelectionAllowed="1" showAll="0">
      <items count="6">
        <item h="1" x="2"/>
        <item h="1" x="3"/>
        <item h="1" x="0"/>
        <item h="1" x="1"/>
        <item x="4"/>
        <item t="default"/>
      </items>
    </pivotField>
    <pivotField showAll="0"/>
    <pivotField axis="axisPage" multipleItemSelectionAllowed="1" showAll="0">
      <items count="6">
        <item h="1" x="0"/>
        <item x="2"/>
        <item x="4"/>
        <item x="1"/>
        <item h="1" x="3"/>
        <item t="default"/>
      </items>
    </pivotField>
    <pivotField showAll="0"/>
  </pivotFields>
  <rowFields count="1">
    <field x="2"/>
  </rowFields>
  <rowItems count="1">
    <i t="grand">
      <x/>
    </i>
  </rowItems>
  <colItems count="1">
    <i/>
  </colItems>
  <pageFields count="2">
    <pageField fld="4" hier="-1"/>
    <pageField fld="6" hier="-1"/>
  </pageFields>
  <dataFields count="1">
    <dataField name="Cuenta de PROYECTO" fld="2" subtotal="count" baseField="0" baseItem="0"/>
  </dataFields>
  <chartFormats count="1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FABA1-A24F-4906-A66E-E889D6D47B6A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33">
  <location ref="B78:C80" firstHeaderRow="1" firstDataRow="1" firstDataCol="1" rowPageCount="2" colPageCount="1"/>
  <pivotFields count="8">
    <pivotField showAll="0"/>
    <pivotField showAll="0"/>
    <pivotField axis="axisRow" dataField="1" showAll="0">
      <items count="87">
        <item x="12"/>
        <item x="43"/>
        <item x="40"/>
        <item x="30"/>
        <item x="17"/>
        <item x="32"/>
        <item x="16"/>
        <item x="21"/>
        <item x="22"/>
        <item x="31"/>
        <item x="20"/>
        <item x="18"/>
        <item x="46"/>
        <item x="42"/>
        <item x="29"/>
        <item x="45"/>
        <item x="23"/>
        <item x="34"/>
        <item x="33"/>
        <item x="35"/>
        <item x="36"/>
        <item x="24"/>
        <item x="38"/>
        <item x="44"/>
        <item x="48"/>
        <item x="28"/>
        <item x="49"/>
        <item x="47"/>
        <item x="11"/>
        <item x="27"/>
        <item x="13"/>
        <item x="68"/>
        <item x="14"/>
        <item x="19"/>
        <item x="9"/>
        <item x="39"/>
        <item x="66"/>
        <item x="26"/>
        <item x="41"/>
        <item x="80"/>
        <item x="70"/>
        <item x="75"/>
        <item x="77"/>
        <item x="72"/>
        <item x="73"/>
        <item x="76"/>
        <item x="79"/>
        <item x="71"/>
        <item x="81"/>
        <item x="69"/>
        <item x="78"/>
        <item x="74"/>
        <item x="67"/>
        <item x="82"/>
        <item x="25"/>
        <item x="10"/>
        <item x="62"/>
        <item x="53"/>
        <item x="52"/>
        <item x="8"/>
        <item x="63"/>
        <item x="2"/>
        <item x="7"/>
        <item x="6"/>
        <item x="5"/>
        <item x="4"/>
        <item x="50"/>
        <item x="1"/>
        <item x="3"/>
        <item x="64"/>
        <item x="54"/>
        <item x="60"/>
        <item x="61"/>
        <item x="55"/>
        <item x="56"/>
        <item x="57"/>
        <item x="59"/>
        <item x="58"/>
        <item x="0"/>
        <item x="65"/>
        <item x="51"/>
        <item x="15"/>
        <item x="37"/>
        <item x="83"/>
        <item x="84"/>
        <item x="85"/>
        <item t="default"/>
      </items>
    </pivotField>
    <pivotField showAll="0"/>
    <pivotField axis="axisPage" multipleItemSelectionAllowed="1" showAll="0">
      <items count="6">
        <item h="1" x="2"/>
        <item x="3"/>
        <item h="1" x="0"/>
        <item h="1" x="1"/>
        <item h="1" x="4"/>
        <item t="default"/>
      </items>
    </pivotField>
    <pivotField showAll="0"/>
    <pivotField axis="axisPage" multipleItemSelectionAllowed="1" showAll="0">
      <items count="6">
        <item h="1" x="0"/>
        <item x="2"/>
        <item x="4"/>
        <item x="1"/>
        <item h="1" x="3"/>
        <item t="default"/>
      </items>
    </pivotField>
    <pivotField showAll="0"/>
  </pivotFields>
  <rowFields count="1">
    <field x="2"/>
  </rowFields>
  <rowItems count="2">
    <i>
      <x v="14"/>
    </i>
    <i t="grand">
      <x/>
    </i>
  </rowItems>
  <colItems count="1">
    <i/>
  </colItems>
  <pageFields count="2">
    <pageField fld="4" hier="-1"/>
    <pageField fld="6" hier="-1"/>
  </pageFields>
  <dataFields count="1">
    <dataField name="Cuenta de PROYECTO" fld="2" subtotal="count" baseField="0" baseItem="0"/>
  </dataFields>
  <chartFormats count="1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A92F5-1981-4887-B0C5-8FF651EA6FB2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3">
  <location ref="B30:C35" firstHeaderRow="1" firstDataRow="1" firstDataCol="1"/>
  <pivotFields count="8">
    <pivotField showAll="0"/>
    <pivotField showAll="0">
      <items count="5">
        <item x="1"/>
        <item x="2"/>
        <item h="1" x="3"/>
        <item h="1" x="0"/>
        <item t="default"/>
      </items>
    </pivotField>
    <pivotField showAll="0"/>
    <pivotField showAll="0"/>
    <pivotField showAll="0"/>
    <pivotField showAll="0"/>
    <pivotField axis="axisRow" dataField="1" showAll="0">
      <items count="6">
        <item x="0"/>
        <item x="2"/>
        <item x="4"/>
        <item x="1"/>
        <item h="1" x="3"/>
        <item t="default"/>
      </items>
    </pivotField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ESTADO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28002-B46E-49F3-8903-DBE5024210CB}" name="TablaDinámica10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21" firstHeaderRow="1" firstDataRow="1" firstDataCol="1"/>
  <pivotFields count="10">
    <pivotField showAll="0"/>
    <pivotField showAll="0"/>
    <pivotField showAll="0"/>
    <pivotField axis="axisRow" showAll="0">
      <items count="18">
        <item x="4"/>
        <item x="12"/>
        <item x="8"/>
        <item x="5"/>
        <item x="14"/>
        <item x="13"/>
        <item x="10"/>
        <item x="9"/>
        <item x="3"/>
        <item x="6"/>
        <item x="1"/>
        <item x="11"/>
        <item x="16"/>
        <item x="15"/>
        <item x="2"/>
        <item x="0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uenta de MINI PROYECTO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18CE9-5551-4A15-AE7A-DEB6EF67B650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19">
  <location ref="B52:C56" firstHeaderRow="1" firstDataRow="1" firstDataCol="1" rowPageCount="2" colPageCount="1"/>
  <pivotFields count="8">
    <pivotField showAll="0"/>
    <pivotField showAll="0"/>
    <pivotField axis="axisRow" dataField="1" showAll="0">
      <items count="87">
        <item x="12"/>
        <item x="43"/>
        <item x="40"/>
        <item x="30"/>
        <item x="17"/>
        <item x="32"/>
        <item x="16"/>
        <item x="21"/>
        <item x="22"/>
        <item x="31"/>
        <item x="20"/>
        <item x="18"/>
        <item x="46"/>
        <item x="42"/>
        <item x="29"/>
        <item x="45"/>
        <item x="23"/>
        <item x="34"/>
        <item x="33"/>
        <item x="35"/>
        <item x="36"/>
        <item x="24"/>
        <item x="38"/>
        <item x="44"/>
        <item x="48"/>
        <item x="28"/>
        <item x="49"/>
        <item x="47"/>
        <item x="11"/>
        <item x="27"/>
        <item x="13"/>
        <item x="68"/>
        <item x="14"/>
        <item x="19"/>
        <item x="9"/>
        <item x="39"/>
        <item x="66"/>
        <item x="26"/>
        <item x="41"/>
        <item x="80"/>
        <item x="70"/>
        <item x="75"/>
        <item x="77"/>
        <item x="72"/>
        <item x="73"/>
        <item x="76"/>
        <item x="79"/>
        <item x="71"/>
        <item x="81"/>
        <item x="69"/>
        <item x="78"/>
        <item x="74"/>
        <item x="67"/>
        <item x="82"/>
        <item x="25"/>
        <item x="10"/>
        <item x="62"/>
        <item x="53"/>
        <item x="52"/>
        <item x="8"/>
        <item x="63"/>
        <item x="2"/>
        <item x="7"/>
        <item x="6"/>
        <item x="5"/>
        <item x="4"/>
        <item x="50"/>
        <item x="1"/>
        <item x="3"/>
        <item x="64"/>
        <item x="54"/>
        <item x="60"/>
        <item x="61"/>
        <item x="55"/>
        <item x="56"/>
        <item x="57"/>
        <item x="59"/>
        <item x="58"/>
        <item x="0"/>
        <item x="65"/>
        <item x="51"/>
        <item x="15"/>
        <item x="37"/>
        <item x="83"/>
        <item x="84"/>
        <item x="85"/>
        <item t="default"/>
      </items>
    </pivotField>
    <pivotField showAll="0"/>
    <pivotField axis="axisPage" multipleItemSelectionAllowed="1" showAll="0">
      <items count="6">
        <item h="1" x="2"/>
        <item h="1" x="3"/>
        <item x="0"/>
        <item h="1" x="1"/>
        <item h="1" x="4"/>
        <item t="default"/>
      </items>
    </pivotField>
    <pivotField showAll="0"/>
    <pivotField axis="axisPage" multipleItemSelectionAllowed="1" showAll="0">
      <items count="6">
        <item h="1" x="0"/>
        <item x="2"/>
        <item x="4"/>
        <item x="1"/>
        <item h="1" x="3"/>
        <item t="default"/>
      </items>
    </pivotField>
    <pivotField showAll="0"/>
  </pivotFields>
  <rowFields count="1">
    <field x="2"/>
  </rowFields>
  <rowItems count="4">
    <i>
      <x v="83"/>
    </i>
    <i>
      <x v="84"/>
    </i>
    <i>
      <x v="85"/>
    </i>
    <i t="grand">
      <x/>
    </i>
  </rowItems>
  <colItems count="1">
    <i/>
  </colItems>
  <pageFields count="2">
    <pageField fld="4" hier="-1"/>
    <pageField fld="6" hier="-1"/>
  </pageFields>
  <dataFields count="1">
    <dataField name="Cuenta de PROYECTO" fld="2" subtotal="count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F7D33-69A2-45A5-AF31-5F26051480F8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B12:C17" firstHeaderRow="1" firstDataRow="1" firstDataCol="1"/>
  <pivotFields count="8">
    <pivotField showAll="0"/>
    <pivotField showAll="0">
      <items count="5">
        <item x="1"/>
        <item x="2"/>
        <item h="1" x="3"/>
        <item h="1" x="0"/>
        <item t="default"/>
      </items>
    </pivotField>
    <pivotField showAll="0"/>
    <pivotField showAll="0"/>
    <pivotField axis="axisRow" dataField="1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ENCARGADO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ABEC2-16E8-4C32-9965-73ECB329E04D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B21:C26" firstHeaderRow="1" firstDataRow="1" firstDataCol="1"/>
  <pivotFields count="8">
    <pivotField showAll="0"/>
    <pivotField showAll="0">
      <items count="5">
        <item x="1"/>
        <item x="2"/>
        <item h="1" x="3"/>
        <item h="1" x="0"/>
        <item t="default"/>
      </items>
    </pivotField>
    <pivotField showAll="0"/>
    <pivotField showAll="0"/>
    <pivotField showAll="0"/>
    <pivotField axis="axisRow" dataField="1" showAll="0">
      <items count="6">
        <item x="4"/>
        <item x="0"/>
        <item x="3"/>
        <item x="1"/>
        <item h="1" x="2"/>
        <item t="default"/>
      </items>
    </pivotField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EQUIPO DE SOPOR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62250-297F-4B20-8F01-25B81C5C2A31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B3:C6" firstHeaderRow="1" firstDataRow="1" firstDataCol="1"/>
  <pivotFields count="8">
    <pivotField showAll="0"/>
    <pivotField axis="axisRow" dataField="1" showAll="0">
      <items count="5">
        <item x="1"/>
        <item x="2"/>
        <item h="1"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uenta de TIP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1" xr10:uid="{74394C3E-8706-4250-9348-4A22E499BF6A}" sourceName="TIPO">
  <pivotTables>
    <pivotTable tabId="2" name="TablaDinámica1"/>
    <pivotTable tabId="2" name="TablaDinámica2"/>
    <pivotTable tabId="2" name="TablaDinámica3"/>
    <pivotTable tabId="2" name="TablaDinámica4"/>
    <pivotTable tabId="2" name="TablaDinámica5"/>
  </pivotTables>
  <data>
    <tabular pivotCacheId="1771284381">
      <items count="4">
        <i x="1" s="1"/>
        <i x="2" s="1"/>
        <i x="3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2" xr10:uid="{26F58FBD-E579-4214-81CB-228A52570FDA}" cache="SegmentaciónDeDatos_TIPO1" caption="TIPO" columnCount="4" style="Estilo de segmentación de datos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D4D43-06FE-4A74-957A-0D1883BE8367}" name="Tabla1" displayName="Tabla1" ref="A1:K196" totalsRowShown="0" headerRowDxfId="0">
  <tableColumns count="11">
    <tableColumn id="1" xr3:uid="{FE2F92C7-4A38-4458-AEB2-CA3770604C85}" name="AÑO"/>
    <tableColumn id="9" xr3:uid="{86B78345-0C25-4C96-B578-220242DFBD77}" name="Clasificación de Proyectos"/>
    <tableColumn id="2" xr3:uid="{B26A796F-62F4-41CE-8427-4A3BDE8ECFFA}" name="TIPO"/>
    <tableColumn id="11" xr3:uid="{E6A7F7D4-9E9B-4F2C-8748-81D05325B080}" name="PROYECTO"/>
    <tableColumn id="3" xr3:uid="{63AFA39C-F175-4F71-9DE5-EBC1169D7FC9}" name="MINI PROYECTO"/>
    <tableColumn id="4" xr3:uid="{0059B3ED-E97D-432F-835D-920635E97686}" name="DESCRIPCIÓN"/>
    <tableColumn id="5" xr3:uid="{EF0531DB-27C7-4DCD-991D-CBCA0CA2B5E8}" name="ENCARGADO"/>
    <tableColumn id="6" xr3:uid="{0C9F3081-BBBC-46B1-990F-D05BEFEEDD75}" name="EQUIPO DE SOPORTE"/>
    <tableColumn id="7" xr3:uid="{5400ED87-9F53-4006-901C-36EBF4A3636F}" name="ESTADO"/>
    <tableColumn id="8" xr3:uid="{1221E9EF-C903-400A-BE64-0B0109051F49}" name="% COMPLETADO"/>
    <tableColumn id="10" xr3:uid="{0222940E-AADC-49CA-A285-E90EBEFBF548}" name="FECHA_ENTREGA"/>
  </tableColumns>
  <tableStyleInfo name="Estilo de tabla 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59BF-0104-43E9-8E87-6158C6B85E0B}">
  <dimension ref="A1:K196"/>
  <sheetViews>
    <sheetView tabSelected="1" zoomScale="101" zoomScaleNormal="145" workbookViewId="0">
      <selection activeCell="K1" sqref="A1:K1"/>
    </sheetView>
  </sheetViews>
  <sheetFormatPr baseColWidth="10" defaultRowHeight="14.5" x14ac:dyDescent="0.35"/>
  <cols>
    <col min="3" max="3" width="58.36328125" bestFit="1" customWidth="1"/>
    <col min="4" max="4" width="45.54296875" bestFit="1" customWidth="1"/>
    <col min="5" max="5" width="69" bestFit="1" customWidth="1"/>
    <col min="6" max="6" width="20.08984375" customWidth="1"/>
    <col min="8" max="8" width="16.26953125" customWidth="1"/>
  </cols>
  <sheetData>
    <row r="1" spans="1:11" x14ac:dyDescent="0.35">
      <c r="A1" s="1" t="s">
        <v>0</v>
      </c>
      <c r="B1" s="1" t="s">
        <v>139</v>
      </c>
      <c r="C1" s="1" t="s">
        <v>121</v>
      </c>
      <c r="D1" s="1" t="s">
        <v>1</v>
      </c>
      <c r="E1" s="1" t="s">
        <v>153</v>
      </c>
      <c r="F1" s="1" t="s">
        <v>2</v>
      </c>
      <c r="G1" s="1" t="s">
        <v>3</v>
      </c>
      <c r="H1" s="1" t="s">
        <v>4</v>
      </c>
      <c r="I1" s="1" t="s">
        <v>14</v>
      </c>
      <c r="J1" s="1" t="s">
        <v>15</v>
      </c>
      <c r="K1" s="1" t="s">
        <v>175</v>
      </c>
    </row>
    <row r="2" spans="1:11" x14ac:dyDescent="0.35">
      <c r="A2">
        <v>2025</v>
      </c>
      <c r="C2" t="s">
        <v>176</v>
      </c>
      <c r="D2" t="s">
        <v>98</v>
      </c>
      <c r="E2" t="s">
        <v>6</v>
      </c>
      <c r="F2" t="s">
        <v>16</v>
      </c>
      <c r="G2" t="s">
        <v>19</v>
      </c>
      <c r="H2" t="s">
        <v>20</v>
      </c>
      <c r="I2" t="s">
        <v>38</v>
      </c>
      <c r="J2" s="3">
        <v>1</v>
      </c>
      <c r="K2" s="11"/>
    </row>
    <row r="3" spans="1:11" x14ac:dyDescent="0.35">
      <c r="A3">
        <v>2025</v>
      </c>
      <c r="C3" t="s">
        <v>176</v>
      </c>
      <c r="D3" t="s">
        <v>98</v>
      </c>
      <c r="E3" t="s">
        <v>5</v>
      </c>
      <c r="F3" t="s">
        <v>16</v>
      </c>
      <c r="G3" t="s">
        <v>19</v>
      </c>
      <c r="H3" t="s">
        <v>20</v>
      </c>
      <c r="I3" t="s">
        <v>38</v>
      </c>
      <c r="J3" s="3">
        <v>1</v>
      </c>
      <c r="K3" s="11"/>
    </row>
    <row r="4" spans="1:11" x14ac:dyDescent="0.35">
      <c r="A4">
        <v>2025</v>
      </c>
      <c r="C4" t="s">
        <v>176</v>
      </c>
      <c r="D4" t="s">
        <v>98</v>
      </c>
      <c r="E4" t="s">
        <v>7</v>
      </c>
      <c r="F4" t="s">
        <v>16</v>
      </c>
      <c r="G4" t="s">
        <v>19</v>
      </c>
      <c r="H4" t="s">
        <v>20</v>
      </c>
      <c r="I4" t="s">
        <v>38</v>
      </c>
      <c r="J4" s="3">
        <v>1</v>
      </c>
      <c r="K4" s="11"/>
    </row>
    <row r="5" spans="1:11" x14ac:dyDescent="0.35">
      <c r="A5">
        <v>2025</v>
      </c>
      <c r="C5" t="s">
        <v>176</v>
      </c>
      <c r="D5" t="s">
        <v>98</v>
      </c>
      <c r="E5" t="s">
        <v>8</v>
      </c>
      <c r="F5" t="s">
        <v>16</v>
      </c>
      <c r="G5" t="s">
        <v>19</v>
      </c>
      <c r="H5" t="s">
        <v>20</v>
      </c>
      <c r="I5" t="s">
        <v>38</v>
      </c>
      <c r="J5" s="3">
        <v>1</v>
      </c>
      <c r="K5" s="11"/>
    </row>
    <row r="6" spans="1:11" x14ac:dyDescent="0.35">
      <c r="A6">
        <v>2025</v>
      </c>
      <c r="C6" t="s">
        <v>176</v>
      </c>
      <c r="D6" t="s">
        <v>98</v>
      </c>
      <c r="E6" t="s">
        <v>9</v>
      </c>
      <c r="F6" t="s">
        <v>16</v>
      </c>
      <c r="G6" t="s">
        <v>19</v>
      </c>
      <c r="H6" t="s">
        <v>20</v>
      </c>
      <c r="I6" t="s">
        <v>38</v>
      </c>
      <c r="J6" s="3">
        <v>1</v>
      </c>
      <c r="K6" s="11"/>
    </row>
    <row r="7" spans="1:11" x14ac:dyDescent="0.35">
      <c r="A7">
        <v>2025</v>
      </c>
      <c r="C7" t="s">
        <v>176</v>
      </c>
      <c r="D7" t="s">
        <v>98</v>
      </c>
      <c r="E7" t="s">
        <v>10</v>
      </c>
      <c r="F7" t="s">
        <v>16</v>
      </c>
      <c r="G7" t="s">
        <v>19</v>
      </c>
      <c r="H7" t="s">
        <v>20</v>
      </c>
      <c r="I7" t="s">
        <v>38</v>
      </c>
      <c r="J7" s="3">
        <v>1</v>
      </c>
      <c r="K7" s="11"/>
    </row>
    <row r="8" spans="1:11" x14ac:dyDescent="0.35">
      <c r="A8">
        <v>2025</v>
      </c>
      <c r="C8" t="s">
        <v>176</v>
      </c>
      <c r="D8" t="s">
        <v>98</v>
      </c>
      <c r="E8" t="s">
        <v>11</v>
      </c>
      <c r="F8" t="s">
        <v>16</v>
      </c>
      <c r="G8" t="s">
        <v>19</v>
      </c>
      <c r="H8" t="s">
        <v>20</v>
      </c>
      <c r="I8" t="s">
        <v>38</v>
      </c>
      <c r="J8" s="3">
        <v>1</v>
      </c>
      <c r="K8" s="11"/>
    </row>
    <row r="9" spans="1:11" x14ac:dyDescent="0.35">
      <c r="A9">
        <v>2025</v>
      </c>
      <c r="C9" t="s">
        <v>176</v>
      </c>
      <c r="D9" t="s">
        <v>98</v>
      </c>
      <c r="E9" t="s">
        <v>12</v>
      </c>
      <c r="F9" t="s">
        <v>16</v>
      </c>
      <c r="G9" t="s">
        <v>19</v>
      </c>
      <c r="H9" t="s">
        <v>20</v>
      </c>
      <c r="I9" t="s">
        <v>38</v>
      </c>
      <c r="J9" s="3">
        <v>1</v>
      </c>
      <c r="K9" s="11"/>
    </row>
    <row r="10" spans="1:11" x14ac:dyDescent="0.35">
      <c r="A10">
        <v>2025</v>
      </c>
      <c r="C10" t="s">
        <v>176</v>
      </c>
      <c r="D10" t="s">
        <v>98</v>
      </c>
      <c r="E10" t="s">
        <v>13</v>
      </c>
      <c r="F10" t="s">
        <v>16</v>
      </c>
      <c r="G10" t="s">
        <v>19</v>
      </c>
      <c r="H10" t="s">
        <v>20</v>
      </c>
      <c r="I10" t="s">
        <v>38</v>
      </c>
      <c r="J10" s="3">
        <v>1</v>
      </c>
      <c r="K10" s="11"/>
    </row>
    <row r="11" spans="1:11" x14ac:dyDescent="0.35">
      <c r="A11">
        <v>2025</v>
      </c>
      <c r="C11" t="s">
        <v>42</v>
      </c>
      <c r="D11" t="s">
        <v>157</v>
      </c>
      <c r="E11" t="s">
        <v>35</v>
      </c>
      <c r="G11" t="s">
        <v>20</v>
      </c>
      <c r="H11" t="s">
        <v>37</v>
      </c>
      <c r="I11" t="s">
        <v>38</v>
      </c>
      <c r="J11" s="3">
        <v>1</v>
      </c>
      <c r="K11" s="11"/>
    </row>
    <row r="12" spans="1:11" x14ac:dyDescent="0.35">
      <c r="A12">
        <v>2025</v>
      </c>
      <c r="C12" t="s">
        <v>43</v>
      </c>
      <c r="D12" t="s">
        <v>44</v>
      </c>
      <c r="E12" t="s">
        <v>44</v>
      </c>
      <c r="G12" t="s">
        <v>21</v>
      </c>
      <c r="H12" t="s">
        <v>20</v>
      </c>
      <c r="I12" t="s">
        <v>30</v>
      </c>
      <c r="K12" s="11"/>
    </row>
    <row r="13" spans="1:11" x14ac:dyDescent="0.35">
      <c r="A13">
        <v>2025</v>
      </c>
      <c r="C13" t="s">
        <v>43</v>
      </c>
      <c r="D13" t="s">
        <v>154</v>
      </c>
      <c r="E13" t="s">
        <v>45</v>
      </c>
      <c r="G13" t="s">
        <v>20</v>
      </c>
      <c r="I13" t="s">
        <v>30</v>
      </c>
      <c r="K13" s="11"/>
    </row>
    <row r="14" spans="1:11" x14ac:dyDescent="0.35">
      <c r="A14">
        <v>2025</v>
      </c>
      <c r="C14" t="s">
        <v>42</v>
      </c>
      <c r="D14" t="s">
        <v>161</v>
      </c>
      <c r="E14" t="s">
        <v>46</v>
      </c>
      <c r="G14" t="s">
        <v>20</v>
      </c>
      <c r="H14" t="s">
        <v>36</v>
      </c>
      <c r="K14" s="11"/>
    </row>
    <row r="15" spans="1:11" x14ac:dyDescent="0.35">
      <c r="A15">
        <v>2025</v>
      </c>
      <c r="C15" t="s">
        <v>42</v>
      </c>
      <c r="D15" t="s">
        <v>164</v>
      </c>
      <c r="E15" t="s">
        <v>47</v>
      </c>
      <c r="G15" t="s">
        <v>20</v>
      </c>
      <c r="I15" t="s">
        <v>31</v>
      </c>
      <c r="K15" s="11"/>
    </row>
    <row r="16" spans="1:11" x14ac:dyDescent="0.35">
      <c r="A16">
        <v>2025</v>
      </c>
      <c r="C16" t="s">
        <v>42</v>
      </c>
      <c r="D16" t="s">
        <v>160</v>
      </c>
      <c r="E16" t="s">
        <v>48</v>
      </c>
      <c r="G16" t="s">
        <v>20</v>
      </c>
      <c r="H16" t="s">
        <v>36</v>
      </c>
      <c r="K16" s="11"/>
    </row>
    <row r="17" spans="1:11" x14ac:dyDescent="0.35">
      <c r="A17">
        <v>2025</v>
      </c>
      <c r="C17" t="s">
        <v>42</v>
      </c>
      <c r="D17" t="s">
        <v>162</v>
      </c>
      <c r="E17" t="s">
        <v>49</v>
      </c>
      <c r="G17" t="s">
        <v>20</v>
      </c>
      <c r="H17" t="s">
        <v>19</v>
      </c>
      <c r="K17" s="11"/>
    </row>
    <row r="18" spans="1:11" x14ac:dyDescent="0.35">
      <c r="A18">
        <v>2025</v>
      </c>
      <c r="C18" t="s">
        <v>43</v>
      </c>
      <c r="D18" t="s">
        <v>156</v>
      </c>
      <c r="E18" t="s">
        <v>50</v>
      </c>
      <c r="G18" t="s">
        <v>20</v>
      </c>
      <c r="H18" t="s">
        <v>36</v>
      </c>
      <c r="I18" t="s">
        <v>38</v>
      </c>
      <c r="J18" s="3">
        <v>1</v>
      </c>
      <c r="K18" s="11"/>
    </row>
    <row r="19" spans="1:11" x14ac:dyDescent="0.35">
      <c r="A19">
        <v>2025</v>
      </c>
      <c r="C19" t="s">
        <v>43</v>
      </c>
      <c r="D19" t="s">
        <v>156</v>
      </c>
      <c r="E19" t="s">
        <v>51</v>
      </c>
      <c r="G19" t="s">
        <v>19</v>
      </c>
      <c r="I19" t="s">
        <v>38</v>
      </c>
      <c r="J19" s="3">
        <v>1</v>
      </c>
      <c r="K19" s="11"/>
    </row>
    <row r="20" spans="1:11" x14ac:dyDescent="0.35">
      <c r="A20">
        <v>2025</v>
      </c>
      <c r="C20" t="s">
        <v>43</v>
      </c>
      <c r="D20" t="s">
        <v>156</v>
      </c>
      <c r="E20" t="s">
        <v>52</v>
      </c>
      <c r="G20" t="s">
        <v>20</v>
      </c>
      <c r="I20" t="s">
        <v>38</v>
      </c>
      <c r="J20" s="3">
        <v>1</v>
      </c>
      <c r="K20" s="11"/>
    </row>
    <row r="21" spans="1:11" x14ac:dyDescent="0.35">
      <c r="A21">
        <v>2025</v>
      </c>
      <c r="C21" t="s">
        <v>43</v>
      </c>
      <c r="D21" t="s">
        <v>157</v>
      </c>
      <c r="E21" t="s">
        <v>53</v>
      </c>
      <c r="G21" t="s">
        <v>20</v>
      </c>
      <c r="H21" t="s">
        <v>19</v>
      </c>
      <c r="I21" t="s">
        <v>30</v>
      </c>
      <c r="K21" s="11"/>
    </row>
    <row r="22" spans="1:11" x14ac:dyDescent="0.35">
      <c r="A22">
        <v>2025</v>
      </c>
      <c r="C22" t="s">
        <v>43</v>
      </c>
      <c r="D22" t="s">
        <v>156</v>
      </c>
      <c r="E22" t="s">
        <v>101</v>
      </c>
      <c r="G22" t="s">
        <v>20</v>
      </c>
      <c r="H22" t="s">
        <v>19</v>
      </c>
      <c r="I22" t="s">
        <v>38</v>
      </c>
      <c r="J22" s="3">
        <v>1</v>
      </c>
      <c r="K22" s="11"/>
    </row>
    <row r="23" spans="1:11" x14ac:dyDescent="0.35">
      <c r="A23">
        <v>2025</v>
      </c>
      <c r="C23" t="s">
        <v>43</v>
      </c>
      <c r="D23" t="s">
        <v>156</v>
      </c>
      <c r="E23" t="s">
        <v>54</v>
      </c>
      <c r="G23" t="s">
        <v>20</v>
      </c>
      <c r="I23" t="s">
        <v>38</v>
      </c>
      <c r="J23" s="3">
        <v>1</v>
      </c>
      <c r="K23" s="11"/>
    </row>
    <row r="24" spans="1:11" x14ac:dyDescent="0.35">
      <c r="A24">
        <v>2025</v>
      </c>
      <c r="C24" t="s">
        <v>43</v>
      </c>
      <c r="D24" t="s">
        <v>156</v>
      </c>
      <c r="E24" t="s">
        <v>55</v>
      </c>
      <c r="G24" t="s">
        <v>19</v>
      </c>
      <c r="H24" t="s">
        <v>20</v>
      </c>
      <c r="I24" t="s">
        <v>38</v>
      </c>
      <c r="J24" s="3">
        <v>1</v>
      </c>
      <c r="K24" s="11"/>
    </row>
    <row r="25" spans="1:11" x14ac:dyDescent="0.35">
      <c r="A25">
        <v>2025</v>
      </c>
      <c r="C25" t="s">
        <v>43</v>
      </c>
      <c r="D25" t="s">
        <v>81</v>
      </c>
      <c r="E25" t="s">
        <v>56</v>
      </c>
      <c r="G25" t="s">
        <v>22</v>
      </c>
      <c r="I25" t="s">
        <v>38</v>
      </c>
      <c r="J25" s="3">
        <v>1</v>
      </c>
      <c r="K25" s="11"/>
    </row>
    <row r="26" spans="1:11" x14ac:dyDescent="0.35">
      <c r="A26">
        <v>2025</v>
      </c>
      <c r="C26" t="s">
        <v>41</v>
      </c>
      <c r="D26" t="s">
        <v>81</v>
      </c>
      <c r="E26" t="s">
        <v>57</v>
      </c>
      <c r="G26" t="s">
        <v>23</v>
      </c>
      <c r="I26" t="s">
        <v>38</v>
      </c>
      <c r="J26" s="3">
        <v>1</v>
      </c>
      <c r="K26" s="11"/>
    </row>
    <row r="27" spans="1:11" x14ac:dyDescent="0.35">
      <c r="A27">
        <v>2025</v>
      </c>
      <c r="C27" t="s">
        <v>43</v>
      </c>
      <c r="D27" t="s">
        <v>165</v>
      </c>
      <c r="E27" t="s">
        <v>58</v>
      </c>
      <c r="G27" t="s">
        <v>21</v>
      </c>
      <c r="H27" t="s">
        <v>20</v>
      </c>
      <c r="I27" t="s">
        <v>30</v>
      </c>
      <c r="J27" s="3">
        <v>0.5</v>
      </c>
      <c r="K27" s="11"/>
    </row>
    <row r="28" spans="1:11" x14ac:dyDescent="0.35">
      <c r="A28">
        <v>2025</v>
      </c>
      <c r="C28" t="s">
        <v>41</v>
      </c>
      <c r="D28" t="s">
        <v>155</v>
      </c>
      <c r="E28" t="s">
        <v>59</v>
      </c>
      <c r="G28" t="s">
        <v>20</v>
      </c>
      <c r="I28" t="s">
        <v>38</v>
      </c>
      <c r="J28" s="3">
        <v>1</v>
      </c>
      <c r="K28" s="11"/>
    </row>
    <row r="29" spans="1:11" x14ac:dyDescent="0.35">
      <c r="A29">
        <v>2025</v>
      </c>
      <c r="C29" t="s">
        <v>41</v>
      </c>
      <c r="D29" t="s">
        <v>154</v>
      </c>
      <c r="E29" t="s">
        <v>60</v>
      </c>
      <c r="G29" t="s">
        <v>20</v>
      </c>
      <c r="I29" t="s">
        <v>38</v>
      </c>
      <c r="J29" s="3">
        <v>1</v>
      </c>
      <c r="K29" s="11"/>
    </row>
    <row r="30" spans="1:11" x14ac:dyDescent="0.35">
      <c r="A30">
        <v>2025</v>
      </c>
      <c r="C30" t="s">
        <v>41</v>
      </c>
      <c r="D30" t="s">
        <v>81</v>
      </c>
      <c r="E30" t="s">
        <v>61</v>
      </c>
      <c r="G30" t="s">
        <v>19</v>
      </c>
      <c r="I30" t="s">
        <v>38</v>
      </c>
      <c r="J30" s="3">
        <v>1</v>
      </c>
      <c r="K30" s="11"/>
    </row>
    <row r="31" spans="1:11" x14ac:dyDescent="0.35">
      <c r="A31">
        <v>2025</v>
      </c>
      <c r="C31" t="s">
        <v>42</v>
      </c>
      <c r="D31" t="s">
        <v>154</v>
      </c>
      <c r="E31" t="s">
        <v>62</v>
      </c>
      <c r="G31" t="s">
        <v>22</v>
      </c>
      <c r="H31" t="s">
        <v>19</v>
      </c>
      <c r="I31" t="s">
        <v>30</v>
      </c>
      <c r="J31" s="3">
        <v>0.9</v>
      </c>
      <c r="K31" s="11"/>
    </row>
    <row r="32" spans="1:11" x14ac:dyDescent="0.35">
      <c r="A32">
        <v>2025</v>
      </c>
      <c r="C32" t="s">
        <v>43</v>
      </c>
      <c r="D32" t="s">
        <v>166</v>
      </c>
      <c r="E32" t="s">
        <v>63</v>
      </c>
      <c r="G32" t="s">
        <v>21</v>
      </c>
      <c r="I32" t="s">
        <v>38</v>
      </c>
      <c r="J32" s="3">
        <v>1</v>
      </c>
      <c r="K32" s="11"/>
    </row>
    <row r="33" spans="1:11" x14ac:dyDescent="0.35">
      <c r="A33">
        <v>2025</v>
      </c>
      <c r="C33" t="s">
        <v>43</v>
      </c>
      <c r="D33" t="s">
        <v>156</v>
      </c>
      <c r="E33" t="s">
        <v>103</v>
      </c>
      <c r="G33" t="s">
        <v>19</v>
      </c>
      <c r="H33" t="s">
        <v>20</v>
      </c>
      <c r="I33" t="s">
        <v>38</v>
      </c>
      <c r="J33" s="3">
        <v>1</v>
      </c>
      <c r="K33" s="11"/>
    </row>
    <row r="34" spans="1:11" x14ac:dyDescent="0.35">
      <c r="A34">
        <v>2025</v>
      </c>
      <c r="C34" t="s">
        <v>43</v>
      </c>
      <c r="D34" t="s">
        <v>156</v>
      </c>
      <c r="E34" t="s">
        <v>102</v>
      </c>
      <c r="G34" t="s">
        <v>19</v>
      </c>
      <c r="H34" t="s">
        <v>20</v>
      </c>
      <c r="I34" t="s">
        <v>38</v>
      </c>
      <c r="J34" s="3">
        <v>1</v>
      </c>
      <c r="K34" s="11"/>
    </row>
    <row r="35" spans="1:11" x14ac:dyDescent="0.35">
      <c r="A35">
        <v>2025</v>
      </c>
      <c r="C35" t="s">
        <v>42</v>
      </c>
      <c r="D35" t="s">
        <v>163</v>
      </c>
      <c r="E35" t="s">
        <v>64</v>
      </c>
      <c r="G35" t="s">
        <v>20</v>
      </c>
      <c r="I35" t="s">
        <v>31</v>
      </c>
      <c r="K35" s="11"/>
    </row>
    <row r="36" spans="1:11" x14ac:dyDescent="0.35">
      <c r="A36">
        <v>2025</v>
      </c>
      <c r="C36" t="s">
        <v>43</v>
      </c>
      <c r="D36" t="s">
        <v>159</v>
      </c>
      <c r="E36" t="s">
        <v>65</v>
      </c>
      <c r="G36" t="s">
        <v>20</v>
      </c>
      <c r="I36" t="s">
        <v>31</v>
      </c>
      <c r="K36" s="11"/>
    </row>
    <row r="37" spans="1:11" x14ac:dyDescent="0.35">
      <c r="A37">
        <v>2025</v>
      </c>
      <c r="C37" t="s">
        <v>41</v>
      </c>
      <c r="D37" t="s">
        <v>167</v>
      </c>
      <c r="E37" t="s">
        <v>66</v>
      </c>
      <c r="G37" t="s">
        <v>20</v>
      </c>
      <c r="I37" t="s">
        <v>38</v>
      </c>
      <c r="J37" s="3">
        <v>1</v>
      </c>
      <c r="K37" s="11"/>
    </row>
    <row r="38" spans="1:11" x14ac:dyDescent="0.35">
      <c r="A38">
        <v>2025</v>
      </c>
      <c r="C38" t="s">
        <v>41</v>
      </c>
      <c r="D38" t="s">
        <v>167</v>
      </c>
      <c r="E38" t="s">
        <v>67</v>
      </c>
      <c r="G38" t="s">
        <v>23</v>
      </c>
      <c r="H38" t="s">
        <v>20</v>
      </c>
      <c r="I38" t="s">
        <v>38</v>
      </c>
      <c r="J38" s="3">
        <v>1</v>
      </c>
      <c r="K38" s="11"/>
    </row>
    <row r="39" spans="1:11" x14ac:dyDescent="0.35">
      <c r="A39">
        <v>2025</v>
      </c>
      <c r="C39" t="s">
        <v>41</v>
      </c>
      <c r="D39" t="s">
        <v>167</v>
      </c>
      <c r="E39" t="s">
        <v>68</v>
      </c>
      <c r="G39" t="s">
        <v>20</v>
      </c>
      <c r="H39" t="s">
        <v>19</v>
      </c>
      <c r="I39" t="s">
        <v>38</v>
      </c>
      <c r="J39" s="3">
        <v>1</v>
      </c>
      <c r="K39" s="11"/>
    </row>
    <row r="40" spans="1:11" x14ac:dyDescent="0.35">
      <c r="A40">
        <v>2025</v>
      </c>
      <c r="C40" t="s">
        <v>41</v>
      </c>
      <c r="D40" t="s">
        <v>167</v>
      </c>
      <c r="E40" t="s">
        <v>69</v>
      </c>
      <c r="G40" t="s">
        <v>20</v>
      </c>
      <c r="I40" t="s">
        <v>38</v>
      </c>
      <c r="J40" s="3">
        <v>1</v>
      </c>
      <c r="K40" s="11"/>
    </row>
    <row r="41" spans="1:11" x14ac:dyDescent="0.35">
      <c r="A41">
        <v>2025</v>
      </c>
      <c r="C41" t="s">
        <v>41</v>
      </c>
      <c r="D41" t="s">
        <v>166</v>
      </c>
      <c r="E41" t="s">
        <v>70</v>
      </c>
      <c r="G41" t="s">
        <v>20</v>
      </c>
      <c r="I41" t="s">
        <v>38</v>
      </c>
      <c r="J41" s="3">
        <v>1</v>
      </c>
      <c r="K41" s="11"/>
    </row>
    <row r="42" spans="1:11" x14ac:dyDescent="0.35">
      <c r="A42">
        <v>2025</v>
      </c>
      <c r="C42" t="s">
        <v>41</v>
      </c>
      <c r="D42" t="s">
        <v>166</v>
      </c>
      <c r="E42" t="s">
        <v>71</v>
      </c>
      <c r="G42" t="s">
        <v>20</v>
      </c>
      <c r="H42" t="s">
        <v>19</v>
      </c>
      <c r="I42" t="s">
        <v>38</v>
      </c>
      <c r="J42" s="3">
        <v>1</v>
      </c>
      <c r="K42" s="11"/>
    </row>
    <row r="43" spans="1:11" x14ac:dyDescent="0.35">
      <c r="A43">
        <v>2025</v>
      </c>
      <c r="C43" t="s">
        <v>41</v>
      </c>
      <c r="D43" t="s">
        <v>156</v>
      </c>
      <c r="E43" t="s">
        <v>72</v>
      </c>
      <c r="G43" t="s">
        <v>20</v>
      </c>
      <c r="H43" t="s">
        <v>37</v>
      </c>
      <c r="I43" t="s">
        <v>38</v>
      </c>
      <c r="J43" s="3">
        <v>1</v>
      </c>
      <c r="K43" s="11"/>
    </row>
    <row r="44" spans="1:11" x14ac:dyDescent="0.35">
      <c r="A44">
        <v>2025</v>
      </c>
      <c r="C44" t="s">
        <v>43</v>
      </c>
      <c r="D44" t="s">
        <v>156</v>
      </c>
      <c r="E44" t="s">
        <v>73</v>
      </c>
      <c r="G44" t="s">
        <v>19</v>
      </c>
      <c r="H44" t="s">
        <v>20</v>
      </c>
      <c r="I44" t="s">
        <v>38</v>
      </c>
      <c r="J44" s="3">
        <v>1</v>
      </c>
      <c r="K44" s="11"/>
    </row>
    <row r="45" spans="1:11" x14ac:dyDescent="0.35">
      <c r="A45">
        <v>2025</v>
      </c>
      <c r="C45" t="s">
        <v>43</v>
      </c>
      <c r="D45" t="s">
        <v>167</v>
      </c>
      <c r="E45" t="s">
        <v>74</v>
      </c>
      <c r="G45" t="s">
        <v>22</v>
      </c>
      <c r="H45" t="s">
        <v>20</v>
      </c>
      <c r="I45" t="s">
        <v>38</v>
      </c>
      <c r="J45" s="3">
        <v>1</v>
      </c>
      <c r="K45" s="11"/>
    </row>
    <row r="46" spans="1:11" x14ac:dyDescent="0.35">
      <c r="A46">
        <v>2025</v>
      </c>
      <c r="C46" t="s">
        <v>43</v>
      </c>
      <c r="D46" t="s">
        <v>156</v>
      </c>
      <c r="E46" t="s">
        <v>75</v>
      </c>
      <c r="G46" t="s">
        <v>20</v>
      </c>
      <c r="I46" t="s">
        <v>38</v>
      </c>
      <c r="J46" s="3">
        <v>1</v>
      </c>
      <c r="K46" s="11"/>
    </row>
    <row r="47" spans="1:11" x14ac:dyDescent="0.35">
      <c r="A47">
        <v>2025</v>
      </c>
      <c r="C47" t="s">
        <v>41</v>
      </c>
      <c r="D47" t="s">
        <v>158</v>
      </c>
      <c r="E47" t="s">
        <v>76</v>
      </c>
      <c r="G47" t="s">
        <v>19</v>
      </c>
      <c r="I47" t="s">
        <v>38</v>
      </c>
      <c r="J47" s="3">
        <v>1</v>
      </c>
      <c r="K47" s="11"/>
    </row>
    <row r="48" spans="1:11" x14ac:dyDescent="0.35">
      <c r="A48">
        <v>2025</v>
      </c>
      <c r="C48" t="s">
        <v>41</v>
      </c>
      <c r="D48" t="s">
        <v>156</v>
      </c>
      <c r="E48" t="s">
        <v>77</v>
      </c>
      <c r="G48" t="s">
        <v>20</v>
      </c>
      <c r="I48" t="s">
        <v>38</v>
      </c>
      <c r="J48" s="3">
        <v>1</v>
      </c>
      <c r="K48" s="11"/>
    </row>
    <row r="49" spans="1:11" x14ac:dyDescent="0.35">
      <c r="A49">
        <v>2025</v>
      </c>
      <c r="C49" t="s">
        <v>41</v>
      </c>
      <c r="D49" t="s">
        <v>81</v>
      </c>
      <c r="E49" t="s">
        <v>80</v>
      </c>
      <c r="F49" t="s">
        <v>81</v>
      </c>
      <c r="G49" t="s">
        <v>19</v>
      </c>
      <c r="H49" t="s">
        <v>20</v>
      </c>
      <c r="I49" t="s">
        <v>38</v>
      </c>
      <c r="J49" s="3">
        <v>1</v>
      </c>
      <c r="K49" s="11"/>
    </row>
    <row r="50" spans="1:11" x14ac:dyDescent="0.35">
      <c r="A50">
        <v>2025</v>
      </c>
      <c r="C50" t="s">
        <v>41</v>
      </c>
      <c r="D50" t="s">
        <v>81</v>
      </c>
      <c r="E50" t="s">
        <v>78</v>
      </c>
      <c r="F50" t="s">
        <v>81</v>
      </c>
      <c r="G50" t="s">
        <v>19</v>
      </c>
      <c r="H50" t="s">
        <v>20</v>
      </c>
      <c r="I50" t="s">
        <v>38</v>
      </c>
      <c r="J50" s="3">
        <v>1</v>
      </c>
      <c r="K50" s="11"/>
    </row>
    <row r="51" spans="1:11" x14ac:dyDescent="0.35">
      <c r="A51">
        <v>2025</v>
      </c>
      <c r="C51" t="s">
        <v>41</v>
      </c>
      <c r="D51" t="s">
        <v>81</v>
      </c>
      <c r="E51" t="s">
        <v>79</v>
      </c>
      <c r="F51" t="s">
        <v>81</v>
      </c>
      <c r="G51" t="s">
        <v>19</v>
      </c>
      <c r="H51" t="s">
        <v>20</v>
      </c>
      <c r="I51" t="s">
        <v>38</v>
      </c>
      <c r="J51" s="3">
        <v>1</v>
      </c>
      <c r="K51" s="11"/>
    </row>
    <row r="52" spans="1:11" x14ac:dyDescent="0.35">
      <c r="A52">
        <v>2025</v>
      </c>
      <c r="C52" t="s">
        <v>176</v>
      </c>
      <c r="D52" t="s">
        <v>98</v>
      </c>
      <c r="E52" t="s">
        <v>82</v>
      </c>
      <c r="F52" t="s">
        <v>16</v>
      </c>
      <c r="G52" t="s">
        <v>19</v>
      </c>
      <c r="H52" t="s">
        <v>20</v>
      </c>
      <c r="I52" t="s">
        <v>38</v>
      </c>
      <c r="J52" s="3">
        <v>1</v>
      </c>
      <c r="K52" s="11"/>
    </row>
    <row r="53" spans="1:11" x14ac:dyDescent="0.35">
      <c r="A53">
        <v>2025</v>
      </c>
      <c r="C53" t="s">
        <v>176</v>
      </c>
      <c r="D53" t="s">
        <v>98</v>
      </c>
      <c r="E53" t="s">
        <v>83</v>
      </c>
      <c r="F53" t="s">
        <v>16</v>
      </c>
      <c r="G53" t="s">
        <v>19</v>
      </c>
      <c r="H53" t="s">
        <v>20</v>
      </c>
      <c r="I53" t="s">
        <v>38</v>
      </c>
      <c r="J53" s="3">
        <v>1</v>
      </c>
      <c r="K53" s="11"/>
    </row>
    <row r="54" spans="1:11" x14ac:dyDescent="0.35">
      <c r="A54">
        <v>2025</v>
      </c>
      <c r="C54" t="s">
        <v>176</v>
      </c>
      <c r="D54" t="s">
        <v>98</v>
      </c>
      <c r="E54" t="s">
        <v>84</v>
      </c>
      <c r="F54" t="s">
        <v>16</v>
      </c>
      <c r="G54" t="s">
        <v>19</v>
      </c>
      <c r="H54" t="s">
        <v>20</v>
      </c>
      <c r="I54" t="s">
        <v>38</v>
      </c>
      <c r="J54" s="3">
        <v>1</v>
      </c>
      <c r="K54" s="11"/>
    </row>
    <row r="55" spans="1:11" x14ac:dyDescent="0.35">
      <c r="A55">
        <v>2025</v>
      </c>
      <c r="C55" t="s">
        <v>176</v>
      </c>
      <c r="D55" t="s">
        <v>98</v>
      </c>
      <c r="E55" t="s">
        <v>85</v>
      </c>
      <c r="F55" t="s">
        <v>16</v>
      </c>
      <c r="G55" t="s">
        <v>19</v>
      </c>
      <c r="H55" t="s">
        <v>20</v>
      </c>
      <c r="I55" t="s">
        <v>38</v>
      </c>
      <c r="J55" s="3">
        <v>1</v>
      </c>
      <c r="K55" s="11"/>
    </row>
    <row r="56" spans="1:11" x14ac:dyDescent="0.35">
      <c r="A56">
        <v>2025</v>
      </c>
      <c r="C56" t="s">
        <v>176</v>
      </c>
      <c r="D56" t="s">
        <v>98</v>
      </c>
      <c r="E56" t="s">
        <v>86</v>
      </c>
      <c r="F56" t="s">
        <v>16</v>
      </c>
      <c r="G56" t="s">
        <v>19</v>
      </c>
      <c r="H56" t="s">
        <v>20</v>
      </c>
      <c r="I56" t="s">
        <v>38</v>
      </c>
      <c r="J56" s="3">
        <v>1</v>
      </c>
      <c r="K56" s="11"/>
    </row>
    <row r="57" spans="1:11" x14ac:dyDescent="0.35">
      <c r="A57">
        <v>2025</v>
      </c>
      <c r="C57" t="s">
        <v>176</v>
      </c>
      <c r="D57" t="s">
        <v>98</v>
      </c>
      <c r="E57" t="s">
        <v>87</v>
      </c>
      <c r="F57" t="s">
        <v>16</v>
      </c>
      <c r="G57" t="s">
        <v>19</v>
      </c>
      <c r="H57" t="s">
        <v>20</v>
      </c>
      <c r="I57" t="s">
        <v>38</v>
      </c>
      <c r="J57" s="3">
        <v>1</v>
      </c>
      <c r="K57" s="11"/>
    </row>
    <row r="58" spans="1:11" x14ac:dyDescent="0.35">
      <c r="A58">
        <v>2025</v>
      </c>
      <c r="C58" t="s">
        <v>176</v>
      </c>
      <c r="D58" t="s">
        <v>98</v>
      </c>
      <c r="E58" t="s">
        <v>88</v>
      </c>
      <c r="F58" t="s">
        <v>16</v>
      </c>
      <c r="G58" t="s">
        <v>19</v>
      </c>
      <c r="H58" t="s">
        <v>20</v>
      </c>
      <c r="I58" t="s">
        <v>38</v>
      </c>
      <c r="J58" s="3">
        <v>1</v>
      </c>
      <c r="K58" s="11"/>
    </row>
    <row r="59" spans="1:11" x14ac:dyDescent="0.35">
      <c r="A59">
        <v>2025</v>
      </c>
      <c r="C59" t="s">
        <v>176</v>
      </c>
      <c r="D59" t="s">
        <v>98</v>
      </c>
      <c r="E59" t="s">
        <v>89</v>
      </c>
      <c r="F59" t="s">
        <v>16</v>
      </c>
      <c r="G59" t="s">
        <v>19</v>
      </c>
      <c r="H59" t="s">
        <v>20</v>
      </c>
      <c r="I59" t="s">
        <v>38</v>
      </c>
      <c r="J59" s="3">
        <v>1</v>
      </c>
      <c r="K59" s="11"/>
    </row>
    <row r="60" spans="1:11" x14ac:dyDescent="0.35">
      <c r="A60">
        <v>2025</v>
      </c>
      <c r="C60" t="s">
        <v>176</v>
      </c>
      <c r="D60" t="s">
        <v>98</v>
      </c>
      <c r="E60" t="s">
        <v>90</v>
      </c>
      <c r="F60" t="s">
        <v>16</v>
      </c>
      <c r="G60" t="s">
        <v>19</v>
      </c>
      <c r="H60" t="s">
        <v>20</v>
      </c>
      <c r="I60" t="s">
        <v>38</v>
      </c>
      <c r="J60" s="3">
        <v>1</v>
      </c>
      <c r="K60" s="11"/>
    </row>
    <row r="61" spans="1:11" x14ac:dyDescent="0.35">
      <c r="A61">
        <v>2025</v>
      </c>
      <c r="C61" t="s">
        <v>176</v>
      </c>
      <c r="D61" t="s">
        <v>98</v>
      </c>
      <c r="E61" t="s">
        <v>91</v>
      </c>
      <c r="F61" t="s">
        <v>16</v>
      </c>
      <c r="G61" t="s">
        <v>19</v>
      </c>
      <c r="H61" t="s">
        <v>20</v>
      </c>
      <c r="I61" t="s">
        <v>38</v>
      </c>
      <c r="J61" s="3">
        <v>1</v>
      </c>
      <c r="K61" s="11"/>
    </row>
    <row r="62" spans="1:11" x14ac:dyDescent="0.35">
      <c r="A62">
        <v>2025</v>
      </c>
      <c r="C62" t="s">
        <v>176</v>
      </c>
      <c r="D62" t="s">
        <v>98</v>
      </c>
      <c r="E62" t="s">
        <v>92</v>
      </c>
      <c r="F62" t="s">
        <v>16</v>
      </c>
      <c r="G62" t="s">
        <v>19</v>
      </c>
      <c r="H62" t="s">
        <v>20</v>
      </c>
      <c r="I62" t="s">
        <v>38</v>
      </c>
      <c r="J62" s="3">
        <v>1</v>
      </c>
      <c r="K62" s="11"/>
    </row>
    <row r="63" spans="1:11" x14ac:dyDescent="0.35">
      <c r="A63">
        <v>2025</v>
      </c>
      <c r="C63" t="s">
        <v>176</v>
      </c>
      <c r="D63" t="s">
        <v>98</v>
      </c>
      <c r="E63" t="s">
        <v>93</v>
      </c>
      <c r="F63" t="s">
        <v>16</v>
      </c>
      <c r="G63" t="s">
        <v>19</v>
      </c>
      <c r="H63" t="s">
        <v>20</v>
      </c>
      <c r="I63" t="s">
        <v>38</v>
      </c>
      <c r="J63" s="3">
        <v>1</v>
      </c>
      <c r="K63" s="11"/>
    </row>
    <row r="64" spans="1:11" x14ac:dyDescent="0.35">
      <c r="A64">
        <v>2025</v>
      </c>
      <c r="C64" t="s">
        <v>176</v>
      </c>
      <c r="D64" t="s">
        <v>98</v>
      </c>
      <c r="E64" t="s">
        <v>94</v>
      </c>
      <c r="F64" t="s">
        <v>16</v>
      </c>
      <c r="G64" t="s">
        <v>19</v>
      </c>
      <c r="H64" t="s">
        <v>20</v>
      </c>
      <c r="I64" t="s">
        <v>38</v>
      </c>
      <c r="J64" s="3">
        <v>1</v>
      </c>
      <c r="K64" s="11"/>
    </row>
    <row r="65" spans="1:11" x14ac:dyDescent="0.35">
      <c r="A65">
        <v>2025</v>
      </c>
      <c r="C65" t="s">
        <v>176</v>
      </c>
      <c r="D65" t="s">
        <v>98</v>
      </c>
      <c r="E65" t="s">
        <v>95</v>
      </c>
      <c r="F65" t="s">
        <v>16</v>
      </c>
      <c r="G65" t="s">
        <v>19</v>
      </c>
      <c r="H65" t="s">
        <v>20</v>
      </c>
      <c r="I65" t="s">
        <v>38</v>
      </c>
      <c r="J65" s="3">
        <v>1</v>
      </c>
      <c r="K65" s="11"/>
    </row>
    <row r="66" spans="1:11" x14ac:dyDescent="0.35">
      <c r="A66">
        <v>2025</v>
      </c>
      <c r="C66" t="s">
        <v>176</v>
      </c>
      <c r="D66" t="s">
        <v>98</v>
      </c>
      <c r="E66" t="s">
        <v>96</v>
      </c>
      <c r="F66" t="s">
        <v>16</v>
      </c>
      <c r="G66" t="s">
        <v>19</v>
      </c>
      <c r="H66" t="s">
        <v>20</v>
      </c>
      <c r="I66" t="s">
        <v>38</v>
      </c>
      <c r="J66" s="3">
        <v>1</v>
      </c>
      <c r="K66" s="11"/>
    </row>
    <row r="67" spans="1:11" x14ac:dyDescent="0.35">
      <c r="A67">
        <v>2025</v>
      </c>
      <c r="C67" t="s">
        <v>176</v>
      </c>
      <c r="D67" t="s">
        <v>98</v>
      </c>
      <c r="E67" t="s">
        <v>97</v>
      </c>
      <c r="F67" t="s">
        <v>16</v>
      </c>
      <c r="G67" t="s">
        <v>19</v>
      </c>
      <c r="H67" t="s">
        <v>20</v>
      </c>
      <c r="I67" t="s">
        <v>38</v>
      </c>
      <c r="J67" s="3">
        <v>1</v>
      </c>
      <c r="K67" s="11"/>
    </row>
    <row r="68" spans="1:11" x14ac:dyDescent="0.35">
      <c r="A68">
        <v>2025</v>
      </c>
      <c r="C68" t="s">
        <v>41</v>
      </c>
      <c r="D68" t="s">
        <v>160</v>
      </c>
      <c r="E68" t="s">
        <v>99</v>
      </c>
      <c r="F68" t="s">
        <v>100</v>
      </c>
      <c r="G68" t="s">
        <v>19</v>
      </c>
      <c r="H68" t="s">
        <v>20</v>
      </c>
      <c r="I68" t="s">
        <v>38</v>
      </c>
      <c r="J68" s="3">
        <v>1</v>
      </c>
      <c r="K68" s="11"/>
    </row>
    <row r="69" spans="1:11" x14ac:dyDescent="0.35">
      <c r="A69">
        <v>2025</v>
      </c>
      <c r="C69" t="s">
        <v>41</v>
      </c>
      <c r="D69" t="s">
        <v>158</v>
      </c>
      <c r="E69" t="s">
        <v>104</v>
      </c>
      <c r="F69" t="s">
        <v>119</v>
      </c>
      <c r="G69" t="s">
        <v>23</v>
      </c>
      <c r="H69" t="s">
        <v>19</v>
      </c>
      <c r="I69" t="s">
        <v>38</v>
      </c>
      <c r="J69" s="3">
        <v>1</v>
      </c>
      <c r="K69" s="11"/>
    </row>
    <row r="70" spans="1:11" x14ac:dyDescent="0.35">
      <c r="A70">
        <v>2025</v>
      </c>
      <c r="C70" t="s">
        <v>42</v>
      </c>
      <c r="D70" t="s">
        <v>164</v>
      </c>
      <c r="E70" t="s">
        <v>105</v>
      </c>
      <c r="F70" t="s">
        <v>120</v>
      </c>
      <c r="G70" t="s">
        <v>20</v>
      </c>
      <c r="I70" t="s">
        <v>38</v>
      </c>
      <c r="J70" s="3">
        <v>1</v>
      </c>
      <c r="K70" s="11"/>
    </row>
    <row r="71" spans="1:11" x14ac:dyDescent="0.35">
      <c r="A71">
        <v>2025</v>
      </c>
      <c r="C71" t="s">
        <v>41</v>
      </c>
      <c r="D71" t="s">
        <v>158</v>
      </c>
      <c r="E71" t="s">
        <v>106</v>
      </c>
      <c r="F71" t="s">
        <v>119</v>
      </c>
      <c r="G71" t="s">
        <v>22</v>
      </c>
      <c r="H71" t="s">
        <v>19</v>
      </c>
      <c r="I71" t="s">
        <v>38</v>
      </c>
      <c r="J71" s="3">
        <v>1</v>
      </c>
      <c r="K71" s="11"/>
    </row>
    <row r="72" spans="1:11" x14ac:dyDescent="0.35">
      <c r="A72">
        <v>2025</v>
      </c>
      <c r="C72" t="s">
        <v>41</v>
      </c>
      <c r="D72" t="s">
        <v>158</v>
      </c>
      <c r="E72" t="s">
        <v>107</v>
      </c>
      <c r="F72" t="s">
        <v>119</v>
      </c>
      <c r="G72" t="s">
        <v>22</v>
      </c>
      <c r="H72" t="s">
        <v>19</v>
      </c>
      <c r="I72" t="s">
        <v>38</v>
      </c>
      <c r="J72" s="3">
        <v>1</v>
      </c>
      <c r="K72" s="11"/>
    </row>
    <row r="73" spans="1:11" x14ac:dyDescent="0.35">
      <c r="A73">
        <v>2025</v>
      </c>
      <c r="C73" t="s">
        <v>41</v>
      </c>
      <c r="D73" t="s">
        <v>158</v>
      </c>
      <c r="E73" t="s">
        <v>108</v>
      </c>
      <c r="F73" t="s">
        <v>119</v>
      </c>
      <c r="G73" t="s">
        <v>22</v>
      </c>
      <c r="H73" t="s">
        <v>19</v>
      </c>
      <c r="I73" t="s">
        <v>38</v>
      </c>
      <c r="J73" s="3">
        <v>1</v>
      </c>
      <c r="K73" s="11"/>
    </row>
    <row r="74" spans="1:11" x14ac:dyDescent="0.35">
      <c r="A74">
        <v>2025</v>
      </c>
      <c r="C74" t="s">
        <v>41</v>
      </c>
      <c r="D74" t="s">
        <v>158</v>
      </c>
      <c r="E74" t="s">
        <v>109</v>
      </c>
      <c r="F74" t="s">
        <v>119</v>
      </c>
      <c r="G74" t="s">
        <v>22</v>
      </c>
      <c r="H74" t="s">
        <v>19</v>
      </c>
      <c r="I74" t="s">
        <v>38</v>
      </c>
      <c r="J74" s="3">
        <v>1</v>
      </c>
      <c r="K74" s="11"/>
    </row>
    <row r="75" spans="1:11" x14ac:dyDescent="0.35">
      <c r="A75">
        <v>2025</v>
      </c>
      <c r="C75" t="s">
        <v>41</v>
      </c>
      <c r="D75" t="s">
        <v>158</v>
      </c>
      <c r="E75" t="s">
        <v>110</v>
      </c>
      <c r="F75" t="s">
        <v>119</v>
      </c>
      <c r="G75" t="s">
        <v>22</v>
      </c>
      <c r="H75" t="s">
        <v>19</v>
      </c>
      <c r="I75" t="s">
        <v>38</v>
      </c>
      <c r="J75" s="3">
        <v>1</v>
      </c>
      <c r="K75" s="11"/>
    </row>
    <row r="76" spans="1:11" x14ac:dyDescent="0.35">
      <c r="A76">
        <v>2025</v>
      </c>
      <c r="C76" t="s">
        <v>41</v>
      </c>
      <c r="D76" t="s">
        <v>158</v>
      </c>
      <c r="E76" t="s">
        <v>111</v>
      </c>
      <c r="F76" t="s">
        <v>119</v>
      </c>
      <c r="G76" t="s">
        <v>22</v>
      </c>
      <c r="H76" t="s">
        <v>19</v>
      </c>
      <c r="I76" t="s">
        <v>38</v>
      </c>
      <c r="J76" s="3">
        <v>1</v>
      </c>
      <c r="K76" s="11"/>
    </row>
    <row r="77" spans="1:11" x14ac:dyDescent="0.35">
      <c r="A77">
        <v>2025</v>
      </c>
      <c r="C77" t="s">
        <v>41</v>
      </c>
      <c r="D77" t="s">
        <v>158</v>
      </c>
      <c r="E77" t="s">
        <v>112</v>
      </c>
      <c r="F77" t="s">
        <v>119</v>
      </c>
      <c r="G77" t="s">
        <v>22</v>
      </c>
      <c r="H77" t="s">
        <v>19</v>
      </c>
      <c r="I77" t="s">
        <v>38</v>
      </c>
      <c r="J77" s="3">
        <v>1</v>
      </c>
      <c r="K77" s="11"/>
    </row>
    <row r="78" spans="1:11" x14ac:dyDescent="0.35">
      <c r="A78">
        <v>2025</v>
      </c>
      <c r="C78" t="s">
        <v>41</v>
      </c>
      <c r="D78" t="s">
        <v>158</v>
      </c>
      <c r="E78" t="s">
        <v>113</v>
      </c>
      <c r="F78" t="s">
        <v>119</v>
      </c>
      <c r="G78" t="s">
        <v>22</v>
      </c>
      <c r="H78" t="s">
        <v>19</v>
      </c>
      <c r="I78" t="s">
        <v>38</v>
      </c>
      <c r="J78" s="3">
        <v>1</v>
      </c>
      <c r="K78" s="11"/>
    </row>
    <row r="79" spans="1:11" x14ac:dyDescent="0.35">
      <c r="A79">
        <v>2025</v>
      </c>
      <c r="C79" t="s">
        <v>41</v>
      </c>
      <c r="D79" t="s">
        <v>158</v>
      </c>
      <c r="E79" t="s">
        <v>114</v>
      </c>
      <c r="F79" t="s">
        <v>119</v>
      </c>
      <c r="G79" t="s">
        <v>22</v>
      </c>
      <c r="H79" t="s">
        <v>19</v>
      </c>
      <c r="I79" t="s">
        <v>38</v>
      </c>
      <c r="J79" s="3">
        <v>1</v>
      </c>
      <c r="K79" s="11"/>
    </row>
    <row r="80" spans="1:11" x14ac:dyDescent="0.35">
      <c r="A80">
        <v>2025</v>
      </c>
      <c r="C80" t="s">
        <v>41</v>
      </c>
      <c r="D80" t="s">
        <v>158</v>
      </c>
      <c r="E80" t="s">
        <v>115</v>
      </c>
      <c r="F80" t="s">
        <v>119</v>
      </c>
      <c r="G80" t="s">
        <v>22</v>
      </c>
      <c r="H80" t="s">
        <v>19</v>
      </c>
      <c r="I80" t="s">
        <v>38</v>
      </c>
      <c r="J80" s="3">
        <v>1</v>
      </c>
      <c r="K80" s="11"/>
    </row>
    <row r="81" spans="1:11" x14ac:dyDescent="0.35">
      <c r="A81">
        <v>2025</v>
      </c>
      <c r="C81" t="s">
        <v>41</v>
      </c>
      <c r="D81" t="s">
        <v>158</v>
      </c>
      <c r="E81" t="s">
        <v>116</v>
      </c>
      <c r="F81" t="s">
        <v>119</v>
      </c>
      <c r="G81" t="s">
        <v>22</v>
      </c>
      <c r="H81" t="s">
        <v>19</v>
      </c>
      <c r="I81" t="s">
        <v>38</v>
      </c>
      <c r="J81" s="3">
        <v>1</v>
      </c>
      <c r="K81" s="11"/>
    </row>
    <row r="82" spans="1:11" x14ac:dyDescent="0.35">
      <c r="A82">
        <v>2025</v>
      </c>
      <c r="C82" t="s">
        <v>41</v>
      </c>
      <c r="D82" t="s">
        <v>158</v>
      </c>
      <c r="E82" t="s">
        <v>117</v>
      </c>
      <c r="F82" t="s">
        <v>119</v>
      </c>
      <c r="G82" t="s">
        <v>22</v>
      </c>
      <c r="H82" t="s">
        <v>19</v>
      </c>
      <c r="I82" t="s">
        <v>38</v>
      </c>
      <c r="J82" s="3">
        <v>1</v>
      </c>
      <c r="K82" s="11"/>
    </row>
    <row r="83" spans="1:11" x14ac:dyDescent="0.35">
      <c r="A83">
        <v>2025</v>
      </c>
      <c r="C83" t="s">
        <v>41</v>
      </c>
      <c r="D83" t="s">
        <v>158</v>
      </c>
      <c r="E83" t="s">
        <v>118</v>
      </c>
      <c r="F83" t="s">
        <v>119</v>
      </c>
      <c r="G83" t="s">
        <v>22</v>
      </c>
      <c r="H83" t="s">
        <v>19</v>
      </c>
      <c r="I83" t="s">
        <v>38</v>
      </c>
      <c r="J83" s="3">
        <v>1</v>
      </c>
      <c r="K83" s="11"/>
    </row>
    <row r="84" spans="1:11" x14ac:dyDescent="0.35">
      <c r="A84">
        <v>2025</v>
      </c>
      <c r="C84" t="s">
        <v>41</v>
      </c>
      <c r="D84" t="s">
        <v>167</v>
      </c>
      <c r="E84" t="s">
        <v>125</v>
      </c>
      <c r="G84" t="s">
        <v>23</v>
      </c>
      <c r="I84" t="s">
        <v>38</v>
      </c>
      <c r="J84" s="3">
        <v>1</v>
      </c>
      <c r="K84" s="11"/>
    </row>
    <row r="85" spans="1:11" x14ac:dyDescent="0.35">
      <c r="A85">
        <v>2025</v>
      </c>
      <c r="C85" t="s">
        <v>41</v>
      </c>
      <c r="D85" t="s">
        <v>81</v>
      </c>
      <c r="E85" t="s">
        <v>136</v>
      </c>
      <c r="G85" t="s">
        <v>19</v>
      </c>
      <c r="I85" t="s">
        <v>38</v>
      </c>
      <c r="J85" s="3">
        <v>1</v>
      </c>
      <c r="K85" s="11"/>
    </row>
    <row r="86" spans="1:11" x14ac:dyDescent="0.35">
      <c r="A86">
        <v>2025</v>
      </c>
      <c r="C86" t="s">
        <v>41</v>
      </c>
      <c r="D86" t="s">
        <v>81</v>
      </c>
      <c r="E86" t="s">
        <v>137</v>
      </c>
      <c r="G86" t="s">
        <v>19</v>
      </c>
      <c r="I86" t="s">
        <v>38</v>
      </c>
      <c r="J86" s="3">
        <v>1</v>
      </c>
      <c r="K86" s="11"/>
    </row>
    <row r="87" spans="1:11" x14ac:dyDescent="0.35">
      <c r="A87">
        <v>2025</v>
      </c>
      <c r="C87" t="s">
        <v>41</v>
      </c>
      <c r="D87" t="s">
        <v>81</v>
      </c>
      <c r="E87" t="s">
        <v>138</v>
      </c>
      <c r="G87" t="s">
        <v>19</v>
      </c>
      <c r="I87" t="s">
        <v>38</v>
      </c>
      <c r="J87" s="3">
        <v>1</v>
      </c>
      <c r="K87" s="11"/>
    </row>
    <row r="88" spans="1:11" x14ac:dyDescent="0.35">
      <c r="A88">
        <v>2025</v>
      </c>
      <c r="C88" t="s">
        <v>43</v>
      </c>
      <c r="D88" t="s">
        <v>165</v>
      </c>
      <c r="E88" t="s">
        <v>140</v>
      </c>
      <c r="G88" t="s">
        <v>20</v>
      </c>
      <c r="I88" t="s">
        <v>30</v>
      </c>
      <c r="K88" s="11"/>
    </row>
    <row r="89" spans="1:11" x14ac:dyDescent="0.35">
      <c r="A89">
        <v>2025</v>
      </c>
      <c r="C89" t="s">
        <v>41</v>
      </c>
      <c r="D89" t="s">
        <v>155</v>
      </c>
      <c r="E89" t="s">
        <v>141</v>
      </c>
      <c r="G89" t="s">
        <v>20</v>
      </c>
      <c r="I89" t="s">
        <v>38</v>
      </c>
      <c r="J89" s="3">
        <v>1</v>
      </c>
      <c r="K89" s="11"/>
    </row>
    <row r="90" spans="1:11" x14ac:dyDescent="0.35">
      <c r="A90">
        <v>2025</v>
      </c>
      <c r="C90" t="s">
        <v>41</v>
      </c>
      <c r="D90" t="s">
        <v>155</v>
      </c>
      <c r="E90" t="s">
        <v>142</v>
      </c>
      <c r="G90" t="s">
        <v>20</v>
      </c>
      <c r="I90" t="s">
        <v>38</v>
      </c>
      <c r="J90" s="3">
        <v>1</v>
      </c>
      <c r="K90" s="11"/>
    </row>
    <row r="91" spans="1:11" x14ac:dyDescent="0.35">
      <c r="A91">
        <v>2025</v>
      </c>
      <c r="C91" t="s">
        <v>43</v>
      </c>
      <c r="D91" t="s">
        <v>154</v>
      </c>
      <c r="E91" t="s">
        <v>143</v>
      </c>
      <c r="G91" t="s">
        <v>19</v>
      </c>
      <c r="I91" t="s">
        <v>38</v>
      </c>
      <c r="J91" s="3">
        <v>1</v>
      </c>
      <c r="K91" s="11"/>
    </row>
    <row r="92" spans="1:11" x14ac:dyDescent="0.35">
      <c r="A92">
        <v>2025</v>
      </c>
      <c r="C92" t="s">
        <v>43</v>
      </c>
      <c r="D92" t="s">
        <v>165</v>
      </c>
      <c r="E92" t="s">
        <v>146</v>
      </c>
      <c r="G92" t="s">
        <v>20</v>
      </c>
      <c r="I92" t="s">
        <v>38</v>
      </c>
      <c r="J92" s="3">
        <v>1</v>
      </c>
      <c r="K92" s="11"/>
    </row>
    <row r="93" spans="1:11" x14ac:dyDescent="0.35">
      <c r="A93">
        <v>2025</v>
      </c>
      <c r="C93" t="s">
        <v>43</v>
      </c>
      <c r="D93" t="s">
        <v>165</v>
      </c>
      <c r="E93" t="s">
        <v>144</v>
      </c>
      <c r="G93" t="s">
        <v>21</v>
      </c>
      <c r="I93" t="s">
        <v>31</v>
      </c>
      <c r="K93" s="11"/>
    </row>
    <row r="94" spans="1:11" x14ac:dyDescent="0.35">
      <c r="A94">
        <v>2025</v>
      </c>
      <c r="C94" t="s">
        <v>43</v>
      </c>
      <c r="D94" t="s">
        <v>165</v>
      </c>
      <c r="E94" t="s">
        <v>150</v>
      </c>
      <c r="G94" t="s">
        <v>20</v>
      </c>
      <c r="I94" t="s">
        <v>38</v>
      </c>
      <c r="J94" s="3">
        <v>1</v>
      </c>
      <c r="K94" s="11"/>
    </row>
    <row r="95" spans="1:11" x14ac:dyDescent="0.35">
      <c r="A95">
        <v>2025</v>
      </c>
      <c r="C95" t="s">
        <v>43</v>
      </c>
      <c r="D95" t="s">
        <v>165</v>
      </c>
      <c r="E95" t="s">
        <v>145</v>
      </c>
      <c r="G95" t="s">
        <v>21</v>
      </c>
      <c r="I95" t="s">
        <v>30</v>
      </c>
      <c r="K95" s="11"/>
    </row>
    <row r="96" spans="1:11" x14ac:dyDescent="0.35">
      <c r="A96">
        <v>2025</v>
      </c>
      <c r="C96" t="s">
        <v>41</v>
      </c>
      <c r="D96" t="s">
        <v>155</v>
      </c>
      <c r="E96" t="s">
        <v>147</v>
      </c>
      <c r="G96" t="s">
        <v>20</v>
      </c>
      <c r="I96" t="s">
        <v>38</v>
      </c>
      <c r="J96" s="3">
        <v>1</v>
      </c>
      <c r="K96" s="11"/>
    </row>
    <row r="97" spans="1:11" x14ac:dyDescent="0.35">
      <c r="A97">
        <v>2025</v>
      </c>
      <c r="C97" t="s">
        <v>176</v>
      </c>
      <c r="D97" t="s">
        <v>98</v>
      </c>
      <c r="E97" t="s">
        <v>98</v>
      </c>
      <c r="G97" t="s">
        <v>19</v>
      </c>
      <c r="I97" t="s">
        <v>30</v>
      </c>
      <c r="K97" s="11"/>
    </row>
    <row r="98" spans="1:11" x14ac:dyDescent="0.35">
      <c r="A98">
        <v>2025</v>
      </c>
      <c r="C98" t="s">
        <v>41</v>
      </c>
      <c r="D98" t="s">
        <v>81</v>
      </c>
      <c r="E98" t="s">
        <v>148</v>
      </c>
      <c r="G98" t="s">
        <v>19</v>
      </c>
      <c r="I98" t="s">
        <v>38</v>
      </c>
      <c r="J98" s="3">
        <v>1</v>
      </c>
      <c r="K98" s="11"/>
    </row>
    <row r="99" spans="1:11" x14ac:dyDescent="0.35">
      <c r="A99">
        <v>2025</v>
      </c>
      <c r="C99" t="s">
        <v>42</v>
      </c>
      <c r="D99" t="s">
        <v>163</v>
      </c>
      <c r="E99" t="s">
        <v>149</v>
      </c>
      <c r="G99" t="s">
        <v>20</v>
      </c>
      <c r="I99" t="s">
        <v>30</v>
      </c>
      <c r="K99" s="11"/>
    </row>
    <row r="100" spans="1:11" x14ac:dyDescent="0.35">
      <c r="A100">
        <v>2025</v>
      </c>
      <c r="C100" t="s">
        <v>43</v>
      </c>
      <c r="D100" t="s">
        <v>154</v>
      </c>
      <c r="E100" t="s">
        <v>151</v>
      </c>
      <c r="G100" t="s">
        <v>20</v>
      </c>
      <c r="I100" t="s">
        <v>30</v>
      </c>
      <c r="K100" s="11"/>
    </row>
    <row r="101" spans="1:11" x14ac:dyDescent="0.35">
      <c r="A101">
        <v>2025</v>
      </c>
      <c r="C101" t="s">
        <v>41</v>
      </c>
      <c r="D101" t="s">
        <v>155</v>
      </c>
      <c r="E101" t="s">
        <v>152</v>
      </c>
      <c r="G101" t="s">
        <v>20</v>
      </c>
      <c r="I101" t="s">
        <v>30</v>
      </c>
      <c r="K101" s="11"/>
    </row>
    <row r="102" spans="1:11" x14ac:dyDescent="0.35">
      <c r="A102">
        <v>2025</v>
      </c>
      <c r="C102" t="s">
        <v>43</v>
      </c>
      <c r="D102" t="s">
        <v>165</v>
      </c>
      <c r="E102" t="s">
        <v>169</v>
      </c>
      <c r="G102" t="s">
        <v>20</v>
      </c>
      <c r="I102" t="s">
        <v>30</v>
      </c>
      <c r="K102" s="11"/>
    </row>
    <row r="103" spans="1:11" x14ac:dyDescent="0.35">
      <c r="A103">
        <v>2025</v>
      </c>
      <c r="C103" t="s">
        <v>43</v>
      </c>
      <c r="D103" t="s">
        <v>165</v>
      </c>
      <c r="E103" t="s">
        <v>170</v>
      </c>
      <c r="G103" t="s">
        <v>20</v>
      </c>
      <c r="I103" t="s">
        <v>30</v>
      </c>
      <c r="K103" s="11"/>
    </row>
    <row r="104" spans="1:11" x14ac:dyDescent="0.35">
      <c r="A104">
        <v>2025</v>
      </c>
      <c r="C104" t="s">
        <v>41</v>
      </c>
      <c r="E104" t="s">
        <v>171</v>
      </c>
      <c r="G104" t="s">
        <v>20</v>
      </c>
      <c r="I104" t="s">
        <v>30</v>
      </c>
      <c r="K104" s="11"/>
    </row>
    <row r="105" spans="1:11" x14ac:dyDescent="0.35">
      <c r="A105">
        <v>2025</v>
      </c>
      <c r="C105" t="s">
        <v>43</v>
      </c>
      <c r="D105" t="s">
        <v>165</v>
      </c>
      <c r="E105" t="s">
        <v>172</v>
      </c>
      <c r="G105" t="s">
        <v>21</v>
      </c>
      <c r="I105" t="s">
        <v>30</v>
      </c>
      <c r="K105" s="11"/>
    </row>
    <row r="106" spans="1:11" x14ac:dyDescent="0.35">
      <c r="A106">
        <v>2025</v>
      </c>
      <c r="C106" t="s">
        <v>41</v>
      </c>
      <c r="E106" t="s">
        <v>173</v>
      </c>
      <c r="G106" t="s">
        <v>19</v>
      </c>
      <c r="I106" t="s">
        <v>30</v>
      </c>
      <c r="K106" s="11"/>
    </row>
    <row r="107" spans="1:11" x14ac:dyDescent="0.35">
      <c r="A107">
        <v>2025</v>
      </c>
      <c r="C107" t="s">
        <v>41</v>
      </c>
      <c r="E107" t="s">
        <v>174</v>
      </c>
      <c r="G107" t="s">
        <v>20</v>
      </c>
      <c r="I107" t="s">
        <v>30</v>
      </c>
      <c r="K107" s="11"/>
    </row>
    <row r="108" spans="1:11" x14ac:dyDescent="0.35">
      <c r="A108">
        <v>2026</v>
      </c>
      <c r="C108" t="s">
        <v>42</v>
      </c>
      <c r="D108" t="s">
        <v>177</v>
      </c>
      <c r="E108" t="s">
        <v>177</v>
      </c>
      <c r="F108" t="s">
        <v>178</v>
      </c>
      <c r="G108" t="s">
        <v>20</v>
      </c>
      <c r="H108" t="s">
        <v>21</v>
      </c>
      <c r="I108" t="s">
        <v>38</v>
      </c>
      <c r="J108" s="3">
        <v>1</v>
      </c>
      <c r="K108" s="11">
        <v>46023</v>
      </c>
    </row>
    <row r="109" spans="1:11" x14ac:dyDescent="0.35">
      <c r="A109">
        <v>2026</v>
      </c>
      <c r="C109" t="s">
        <v>42</v>
      </c>
      <c r="D109" t="s">
        <v>177</v>
      </c>
      <c r="E109" t="s">
        <v>179</v>
      </c>
      <c r="F109" t="s">
        <v>180</v>
      </c>
      <c r="G109" t="s">
        <v>21</v>
      </c>
      <c r="H109" t="s">
        <v>20</v>
      </c>
      <c r="I109" t="s">
        <v>38</v>
      </c>
      <c r="J109" s="3">
        <v>1</v>
      </c>
      <c r="K109" s="11">
        <v>46130</v>
      </c>
    </row>
    <row r="110" spans="1:11" x14ac:dyDescent="0.35">
      <c r="A110">
        <v>2026</v>
      </c>
      <c r="C110" t="s">
        <v>42</v>
      </c>
      <c r="D110" t="s">
        <v>177</v>
      </c>
      <c r="E110" t="s">
        <v>181</v>
      </c>
      <c r="F110" t="s">
        <v>182</v>
      </c>
      <c r="G110" t="s">
        <v>20</v>
      </c>
      <c r="H110" t="s">
        <v>21</v>
      </c>
      <c r="I110" t="s">
        <v>30</v>
      </c>
      <c r="K110" s="11">
        <v>46023</v>
      </c>
    </row>
    <row r="111" spans="1:11" x14ac:dyDescent="0.35">
      <c r="A111">
        <v>2026</v>
      </c>
      <c r="C111" t="s">
        <v>42</v>
      </c>
      <c r="D111" t="s">
        <v>183</v>
      </c>
      <c r="E111" t="s">
        <v>184</v>
      </c>
      <c r="F111" t="s">
        <v>178</v>
      </c>
      <c r="G111" t="s">
        <v>21</v>
      </c>
      <c r="H111" t="s">
        <v>20</v>
      </c>
      <c r="I111" t="s">
        <v>38</v>
      </c>
      <c r="J111" s="3">
        <v>1</v>
      </c>
      <c r="K111" s="11">
        <v>46066</v>
      </c>
    </row>
    <row r="112" spans="1:11" x14ac:dyDescent="0.35">
      <c r="A112">
        <v>2026</v>
      </c>
      <c r="C112" t="s">
        <v>42</v>
      </c>
      <c r="D112" t="s">
        <v>183</v>
      </c>
      <c r="E112" t="s">
        <v>185</v>
      </c>
      <c r="F112" t="s">
        <v>186</v>
      </c>
      <c r="G112" t="s">
        <v>20</v>
      </c>
      <c r="H112" t="s">
        <v>21</v>
      </c>
      <c r="I112" t="s">
        <v>38</v>
      </c>
      <c r="J112" s="3">
        <v>1</v>
      </c>
      <c r="K112" s="11">
        <v>46066</v>
      </c>
    </row>
    <row r="113" spans="1:11" x14ac:dyDescent="0.35">
      <c r="A113">
        <v>2026</v>
      </c>
      <c r="C113" t="s">
        <v>42</v>
      </c>
      <c r="D113" t="s">
        <v>162</v>
      </c>
      <c r="E113" t="s">
        <v>187</v>
      </c>
      <c r="F113" t="s">
        <v>189</v>
      </c>
      <c r="G113" t="s">
        <v>20</v>
      </c>
      <c r="I113" t="s">
        <v>38</v>
      </c>
      <c r="J113" s="3">
        <v>1</v>
      </c>
      <c r="K113" s="11">
        <v>46077</v>
      </c>
    </row>
    <row r="114" spans="1:11" x14ac:dyDescent="0.35">
      <c r="A114">
        <v>2026</v>
      </c>
      <c r="C114" t="s">
        <v>42</v>
      </c>
      <c r="D114" t="s">
        <v>162</v>
      </c>
      <c r="E114" t="s">
        <v>187</v>
      </c>
      <c r="F114" t="s">
        <v>190</v>
      </c>
      <c r="G114" t="s">
        <v>20</v>
      </c>
      <c r="I114" t="s">
        <v>38</v>
      </c>
      <c r="J114" s="3">
        <v>1</v>
      </c>
      <c r="K114" s="11">
        <v>46077</v>
      </c>
    </row>
    <row r="115" spans="1:11" x14ac:dyDescent="0.35">
      <c r="A115">
        <v>2026</v>
      </c>
      <c r="C115" t="s">
        <v>42</v>
      </c>
      <c r="D115" t="s">
        <v>162</v>
      </c>
      <c r="E115" t="s">
        <v>188</v>
      </c>
      <c r="F115" t="s">
        <v>189</v>
      </c>
      <c r="G115" t="s">
        <v>20</v>
      </c>
      <c r="I115" t="s">
        <v>30</v>
      </c>
      <c r="K115" s="56">
        <v>46447</v>
      </c>
    </row>
    <row r="116" spans="1:11" x14ac:dyDescent="0.35">
      <c r="A116">
        <v>2026</v>
      </c>
      <c r="C116" t="s">
        <v>42</v>
      </c>
      <c r="D116" t="s">
        <v>162</v>
      </c>
      <c r="E116" t="s">
        <v>188</v>
      </c>
      <c r="F116" t="s">
        <v>190</v>
      </c>
      <c r="G116" t="s">
        <v>20</v>
      </c>
      <c r="I116" t="s">
        <v>30</v>
      </c>
      <c r="K116" s="56">
        <v>46447</v>
      </c>
    </row>
    <row r="117" spans="1:11" x14ac:dyDescent="0.35">
      <c r="A117">
        <v>2026</v>
      </c>
      <c r="C117" t="s">
        <v>42</v>
      </c>
      <c r="D117" t="s">
        <v>191</v>
      </c>
      <c r="E117" t="s">
        <v>192</v>
      </c>
      <c r="F117" t="s">
        <v>194</v>
      </c>
      <c r="G117" t="s">
        <v>20</v>
      </c>
      <c r="I117" t="s">
        <v>38</v>
      </c>
      <c r="J117" s="3">
        <v>1</v>
      </c>
      <c r="K117" s="56">
        <v>45960</v>
      </c>
    </row>
    <row r="118" spans="1:11" x14ac:dyDescent="0.35">
      <c r="A118">
        <v>2026</v>
      </c>
      <c r="C118" t="s">
        <v>42</v>
      </c>
      <c r="D118" t="s">
        <v>191</v>
      </c>
      <c r="E118" t="s">
        <v>193</v>
      </c>
      <c r="F118" t="s">
        <v>195</v>
      </c>
      <c r="G118" t="s">
        <v>20</v>
      </c>
      <c r="I118" t="s">
        <v>38</v>
      </c>
      <c r="J118" s="3">
        <v>1</v>
      </c>
      <c r="K118" s="11">
        <v>46120</v>
      </c>
    </row>
    <row r="119" spans="1:11" x14ac:dyDescent="0.35">
      <c r="A119">
        <v>2026</v>
      </c>
      <c r="C119" t="s">
        <v>42</v>
      </c>
      <c r="D119" t="s">
        <v>191</v>
      </c>
      <c r="E119" t="s">
        <v>196</v>
      </c>
      <c r="F119" t="s">
        <v>194</v>
      </c>
      <c r="G119" t="s">
        <v>20</v>
      </c>
      <c r="I119" t="s">
        <v>30</v>
      </c>
      <c r="K119" s="56">
        <v>46327</v>
      </c>
    </row>
    <row r="120" spans="1:11" x14ac:dyDescent="0.35">
      <c r="A120">
        <v>2026</v>
      </c>
      <c r="C120" t="s">
        <v>42</v>
      </c>
      <c r="D120" t="s">
        <v>191</v>
      </c>
      <c r="E120" t="s">
        <v>197</v>
      </c>
      <c r="F120" t="s">
        <v>195</v>
      </c>
      <c r="G120" t="s">
        <v>20</v>
      </c>
      <c r="I120" t="s">
        <v>30</v>
      </c>
      <c r="K120" s="56">
        <v>46492</v>
      </c>
    </row>
    <row r="121" spans="1:11" x14ac:dyDescent="0.35">
      <c r="A121">
        <v>2026</v>
      </c>
      <c r="C121" t="s">
        <v>42</v>
      </c>
      <c r="D121" t="s">
        <v>198</v>
      </c>
      <c r="E121" t="s">
        <v>199</v>
      </c>
      <c r="F121" t="s">
        <v>200</v>
      </c>
      <c r="G121" t="s">
        <v>21</v>
      </c>
      <c r="H121" t="s">
        <v>20</v>
      </c>
      <c r="I121" t="s">
        <v>38</v>
      </c>
      <c r="J121" s="3">
        <v>1</v>
      </c>
      <c r="K121" s="11">
        <v>46119</v>
      </c>
    </row>
    <row r="122" spans="1:11" x14ac:dyDescent="0.35">
      <c r="A122">
        <v>2026</v>
      </c>
      <c r="C122" t="s">
        <v>42</v>
      </c>
      <c r="D122" t="s">
        <v>198</v>
      </c>
      <c r="E122" t="s">
        <v>199</v>
      </c>
      <c r="F122" t="s">
        <v>201</v>
      </c>
      <c r="G122" t="s">
        <v>20</v>
      </c>
      <c r="I122" t="s">
        <v>38</v>
      </c>
      <c r="J122" s="3">
        <v>1</v>
      </c>
      <c r="K122" s="11">
        <v>46121</v>
      </c>
    </row>
    <row r="123" spans="1:11" x14ac:dyDescent="0.35">
      <c r="A123">
        <v>2026</v>
      </c>
      <c r="C123" t="s">
        <v>42</v>
      </c>
      <c r="D123" t="s">
        <v>202</v>
      </c>
      <c r="E123" t="s">
        <v>206</v>
      </c>
      <c r="F123" t="s">
        <v>203</v>
      </c>
      <c r="G123" t="s">
        <v>20</v>
      </c>
      <c r="H123" t="s">
        <v>19</v>
      </c>
      <c r="I123" t="s">
        <v>38</v>
      </c>
      <c r="J123" s="3">
        <v>1</v>
      </c>
      <c r="K123" s="11">
        <v>46068</v>
      </c>
    </row>
    <row r="124" spans="1:11" x14ac:dyDescent="0.35">
      <c r="A124">
        <v>2026</v>
      </c>
      <c r="C124" t="s">
        <v>42</v>
      </c>
      <c r="D124" t="s">
        <v>202</v>
      </c>
      <c r="E124" t="s">
        <v>207</v>
      </c>
      <c r="F124" t="s">
        <v>204</v>
      </c>
      <c r="G124" t="s">
        <v>20</v>
      </c>
      <c r="I124" t="s">
        <v>30</v>
      </c>
      <c r="K124" s="11">
        <v>46068</v>
      </c>
    </row>
    <row r="125" spans="1:11" x14ac:dyDescent="0.35">
      <c r="A125">
        <v>2026</v>
      </c>
      <c r="C125" t="s">
        <v>42</v>
      </c>
      <c r="D125" t="s">
        <v>205</v>
      </c>
      <c r="E125" t="s">
        <v>206</v>
      </c>
      <c r="F125" t="s">
        <v>203</v>
      </c>
      <c r="G125" t="s">
        <v>20</v>
      </c>
      <c r="I125" t="s">
        <v>38</v>
      </c>
      <c r="J125" s="3">
        <v>1</v>
      </c>
      <c r="K125" s="11">
        <v>46128</v>
      </c>
    </row>
    <row r="126" spans="1:11" x14ac:dyDescent="0.35">
      <c r="A126">
        <v>2026</v>
      </c>
      <c r="C126" t="s">
        <v>42</v>
      </c>
      <c r="D126" t="s">
        <v>205</v>
      </c>
      <c r="E126" t="s">
        <v>207</v>
      </c>
      <c r="F126" t="s">
        <v>204</v>
      </c>
      <c r="G126" t="s">
        <v>20</v>
      </c>
      <c r="I126" t="s">
        <v>30</v>
      </c>
      <c r="K126" s="11">
        <v>46128</v>
      </c>
    </row>
    <row r="127" spans="1:11" x14ac:dyDescent="0.35">
      <c r="A127">
        <v>2026</v>
      </c>
      <c r="C127" t="s">
        <v>42</v>
      </c>
      <c r="D127" t="s">
        <v>202</v>
      </c>
      <c r="E127" t="s">
        <v>208</v>
      </c>
      <c r="F127" t="s">
        <v>203</v>
      </c>
      <c r="G127" t="s">
        <v>20</v>
      </c>
      <c r="H127" t="s">
        <v>19</v>
      </c>
      <c r="I127" t="s">
        <v>31</v>
      </c>
      <c r="J127" s="3">
        <v>0.1</v>
      </c>
      <c r="K127" s="11">
        <v>46327</v>
      </c>
    </row>
    <row r="128" spans="1:11" x14ac:dyDescent="0.35">
      <c r="A128">
        <v>2026</v>
      </c>
      <c r="C128" t="s">
        <v>42</v>
      </c>
      <c r="D128" t="s">
        <v>202</v>
      </c>
      <c r="E128" t="s">
        <v>209</v>
      </c>
      <c r="F128" t="s">
        <v>204</v>
      </c>
      <c r="G128" t="s">
        <v>20</v>
      </c>
      <c r="I128" t="s">
        <v>31</v>
      </c>
      <c r="J128">
        <v>0.1</v>
      </c>
      <c r="K128" s="11">
        <v>46419</v>
      </c>
    </row>
    <row r="129" spans="1:11" x14ac:dyDescent="0.35">
      <c r="A129">
        <v>2026</v>
      </c>
      <c r="C129" t="s">
        <v>42</v>
      </c>
      <c r="D129" t="s">
        <v>205</v>
      </c>
      <c r="E129" t="s">
        <v>208</v>
      </c>
      <c r="F129" t="s">
        <v>203</v>
      </c>
      <c r="G129" t="s">
        <v>20</v>
      </c>
      <c r="I129" t="s">
        <v>31</v>
      </c>
      <c r="J129">
        <v>0</v>
      </c>
      <c r="K129" s="11">
        <v>46447</v>
      </c>
    </row>
    <row r="130" spans="1:11" x14ac:dyDescent="0.35">
      <c r="A130">
        <v>2026</v>
      </c>
      <c r="C130" t="s">
        <v>42</v>
      </c>
      <c r="D130" t="s">
        <v>205</v>
      </c>
      <c r="E130" t="s">
        <v>209</v>
      </c>
      <c r="F130" t="s">
        <v>204</v>
      </c>
      <c r="G130" t="s">
        <v>20</v>
      </c>
      <c r="I130" t="s">
        <v>31</v>
      </c>
      <c r="J130">
        <v>0</v>
      </c>
      <c r="K130" s="11">
        <v>46478</v>
      </c>
    </row>
    <row r="131" spans="1:11" x14ac:dyDescent="0.35">
      <c r="A131">
        <v>2026</v>
      </c>
      <c r="C131" t="s">
        <v>42</v>
      </c>
      <c r="D131" t="s">
        <v>210</v>
      </c>
      <c r="E131" t="s">
        <v>214</v>
      </c>
      <c r="F131" t="s">
        <v>213</v>
      </c>
      <c r="G131" t="s">
        <v>20</v>
      </c>
      <c r="I131" t="s">
        <v>30</v>
      </c>
      <c r="K131" s="11">
        <v>46204</v>
      </c>
    </row>
    <row r="132" spans="1:11" x14ac:dyDescent="0.35">
      <c r="A132">
        <v>2026</v>
      </c>
      <c r="C132" t="s">
        <v>42</v>
      </c>
      <c r="D132" t="s">
        <v>211</v>
      </c>
      <c r="E132" t="s">
        <v>216</v>
      </c>
      <c r="F132" t="s">
        <v>217</v>
      </c>
      <c r="G132" t="s">
        <v>20</v>
      </c>
      <c r="I132" t="s">
        <v>30</v>
      </c>
      <c r="K132" s="11">
        <v>46235</v>
      </c>
    </row>
    <row r="133" spans="1:11" x14ac:dyDescent="0.35">
      <c r="A133">
        <v>2026</v>
      </c>
      <c r="C133" t="s">
        <v>42</v>
      </c>
      <c r="D133" t="s">
        <v>212</v>
      </c>
      <c r="E133" t="s">
        <v>215</v>
      </c>
      <c r="F133" t="s">
        <v>218</v>
      </c>
      <c r="G133" t="s">
        <v>20</v>
      </c>
      <c r="I133" t="s">
        <v>30</v>
      </c>
      <c r="K133" s="11">
        <v>46174</v>
      </c>
    </row>
    <row r="134" spans="1:11" x14ac:dyDescent="0.35">
      <c r="A134">
        <v>2026</v>
      </c>
      <c r="C134" t="s">
        <v>43</v>
      </c>
      <c r="D134" t="s">
        <v>219</v>
      </c>
      <c r="E134" t="s">
        <v>220</v>
      </c>
      <c r="F134" t="s">
        <v>200</v>
      </c>
      <c r="G134" t="s">
        <v>21</v>
      </c>
      <c r="H134" t="s">
        <v>20</v>
      </c>
      <c r="I134" t="s">
        <v>38</v>
      </c>
      <c r="J134" s="3">
        <v>1</v>
      </c>
      <c r="K134" s="11">
        <v>46099</v>
      </c>
    </row>
    <row r="135" spans="1:11" x14ac:dyDescent="0.35">
      <c r="A135">
        <v>2026</v>
      </c>
      <c r="C135" t="s">
        <v>43</v>
      </c>
      <c r="D135" t="s">
        <v>219</v>
      </c>
      <c r="E135" t="s">
        <v>221</v>
      </c>
      <c r="F135" t="s">
        <v>222</v>
      </c>
      <c r="G135" t="s">
        <v>20</v>
      </c>
      <c r="I135" t="s">
        <v>38</v>
      </c>
      <c r="J135" s="3">
        <v>1</v>
      </c>
      <c r="K135" s="11">
        <v>46102</v>
      </c>
    </row>
    <row r="136" spans="1:11" x14ac:dyDescent="0.35">
      <c r="A136">
        <v>2026</v>
      </c>
      <c r="C136" t="s">
        <v>43</v>
      </c>
      <c r="D136" t="s">
        <v>223</v>
      </c>
      <c r="E136" t="s">
        <v>220</v>
      </c>
      <c r="F136" t="s">
        <v>200</v>
      </c>
      <c r="G136" t="s">
        <v>21</v>
      </c>
      <c r="H136" t="s">
        <v>20</v>
      </c>
      <c r="I136" t="s">
        <v>38</v>
      </c>
      <c r="J136" s="3">
        <v>1</v>
      </c>
      <c r="K136" s="11">
        <v>46094</v>
      </c>
    </row>
    <row r="137" spans="1:11" x14ac:dyDescent="0.35">
      <c r="A137">
        <v>2026</v>
      </c>
      <c r="C137" t="s">
        <v>43</v>
      </c>
      <c r="D137" t="s">
        <v>223</v>
      </c>
      <c r="E137" t="s">
        <v>221</v>
      </c>
      <c r="F137" t="s">
        <v>222</v>
      </c>
      <c r="G137" t="s">
        <v>20</v>
      </c>
      <c r="I137" t="s">
        <v>38</v>
      </c>
      <c r="J137" s="3">
        <v>1</v>
      </c>
      <c r="K137" s="11">
        <v>46096</v>
      </c>
    </row>
    <row r="138" spans="1:11" x14ac:dyDescent="0.35">
      <c r="A138">
        <v>2026</v>
      </c>
      <c r="C138" t="s">
        <v>43</v>
      </c>
      <c r="D138" t="s">
        <v>224</v>
      </c>
      <c r="E138" t="s">
        <v>225</v>
      </c>
      <c r="F138" t="s">
        <v>200</v>
      </c>
      <c r="G138" t="s">
        <v>21</v>
      </c>
      <c r="H138" t="s">
        <v>20</v>
      </c>
      <c r="I138" t="s">
        <v>38</v>
      </c>
      <c r="J138" s="3">
        <v>1</v>
      </c>
      <c r="K138" s="11">
        <v>46121</v>
      </c>
    </row>
    <row r="139" spans="1:11" x14ac:dyDescent="0.35">
      <c r="A139">
        <v>2026</v>
      </c>
      <c r="C139" t="s">
        <v>43</v>
      </c>
      <c r="D139" t="s">
        <v>224</v>
      </c>
      <c r="E139" t="s">
        <v>226</v>
      </c>
      <c r="F139" t="s">
        <v>222</v>
      </c>
      <c r="G139" t="s">
        <v>20</v>
      </c>
      <c r="I139" t="s">
        <v>38</v>
      </c>
      <c r="J139" s="3">
        <v>1</v>
      </c>
      <c r="K139" s="11">
        <v>46121</v>
      </c>
    </row>
    <row r="140" spans="1:11" x14ac:dyDescent="0.35">
      <c r="A140">
        <v>2026</v>
      </c>
      <c r="C140" t="s">
        <v>43</v>
      </c>
      <c r="D140" t="s">
        <v>227</v>
      </c>
      <c r="E140" t="s">
        <v>228</v>
      </c>
      <c r="F140" t="s">
        <v>229</v>
      </c>
      <c r="G140" t="s">
        <v>20</v>
      </c>
      <c r="I140" t="s">
        <v>38</v>
      </c>
      <c r="J140" s="3">
        <v>1</v>
      </c>
      <c r="K140" s="11">
        <v>46106</v>
      </c>
    </row>
    <row r="141" spans="1:11" x14ac:dyDescent="0.35">
      <c r="A141">
        <v>2026</v>
      </c>
      <c r="C141" t="s">
        <v>43</v>
      </c>
      <c r="D141" t="s">
        <v>230</v>
      </c>
      <c r="E141" t="s">
        <v>231</v>
      </c>
      <c r="F141" t="s">
        <v>200</v>
      </c>
      <c r="G141" t="s">
        <v>21</v>
      </c>
      <c r="H141" t="s">
        <v>20</v>
      </c>
      <c r="I141" t="s">
        <v>30</v>
      </c>
      <c r="J141">
        <v>0.2</v>
      </c>
      <c r="K141" s="11">
        <v>46280</v>
      </c>
    </row>
    <row r="142" spans="1:11" x14ac:dyDescent="0.35">
      <c r="A142">
        <v>2026</v>
      </c>
      <c r="C142" t="s">
        <v>43</v>
      </c>
      <c r="D142" t="s">
        <v>230</v>
      </c>
      <c r="E142" t="s">
        <v>232</v>
      </c>
      <c r="F142" t="s">
        <v>222</v>
      </c>
      <c r="G142" t="s">
        <v>20</v>
      </c>
      <c r="I142" t="s">
        <v>30</v>
      </c>
      <c r="K142" s="11">
        <v>46280</v>
      </c>
    </row>
    <row r="143" spans="1:11" x14ac:dyDescent="0.35">
      <c r="A143">
        <v>2026</v>
      </c>
      <c r="C143" t="s">
        <v>41</v>
      </c>
      <c r="D143" t="s">
        <v>233</v>
      </c>
      <c r="E143" t="s">
        <v>234</v>
      </c>
      <c r="F143" t="s">
        <v>200</v>
      </c>
      <c r="G143" t="s">
        <v>21</v>
      </c>
      <c r="I143" t="s">
        <v>38</v>
      </c>
      <c r="J143" s="3">
        <v>1</v>
      </c>
      <c r="K143" s="11">
        <v>46108</v>
      </c>
    </row>
    <row r="144" spans="1:11" x14ac:dyDescent="0.35">
      <c r="A144">
        <v>2026</v>
      </c>
      <c r="C144" t="s">
        <v>41</v>
      </c>
      <c r="D144" t="s">
        <v>233</v>
      </c>
      <c r="E144" t="s">
        <v>235</v>
      </c>
      <c r="F144" t="s">
        <v>236</v>
      </c>
      <c r="G144" t="s">
        <v>20</v>
      </c>
      <c r="I144" t="s">
        <v>38</v>
      </c>
      <c r="J144" s="3">
        <v>1</v>
      </c>
      <c r="K144" s="11">
        <v>46108</v>
      </c>
    </row>
    <row r="145" spans="1:11" x14ac:dyDescent="0.35">
      <c r="A145">
        <v>2026</v>
      </c>
      <c r="C145" t="s">
        <v>41</v>
      </c>
      <c r="D145" t="s">
        <v>237</v>
      </c>
      <c r="E145" t="s">
        <v>238</v>
      </c>
      <c r="F145" t="s">
        <v>239</v>
      </c>
      <c r="G145" t="s">
        <v>20</v>
      </c>
      <c r="I145" t="s">
        <v>38</v>
      </c>
      <c r="J145" s="3">
        <v>1</v>
      </c>
      <c r="K145" s="11">
        <v>46073</v>
      </c>
    </row>
    <row r="146" spans="1:11" x14ac:dyDescent="0.35">
      <c r="A146">
        <v>2026</v>
      </c>
      <c r="C146" t="s">
        <v>43</v>
      </c>
      <c r="D146" t="s">
        <v>240</v>
      </c>
      <c r="E146" t="s">
        <v>241</v>
      </c>
      <c r="F146" t="s">
        <v>243</v>
      </c>
      <c r="G146" t="s">
        <v>21</v>
      </c>
      <c r="H146" t="s">
        <v>20</v>
      </c>
      <c r="I146" t="s">
        <v>30</v>
      </c>
      <c r="J146">
        <v>0.5</v>
      </c>
      <c r="K146" s="11">
        <v>46171</v>
      </c>
    </row>
    <row r="147" spans="1:11" x14ac:dyDescent="0.35">
      <c r="A147">
        <v>2026</v>
      </c>
      <c r="C147" t="s">
        <v>43</v>
      </c>
      <c r="D147" t="s">
        <v>240</v>
      </c>
      <c r="E147" t="s">
        <v>242</v>
      </c>
      <c r="F147" t="s">
        <v>243</v>
      </c>
      <c r="G147" t="s">
        <v>20</v>
      </c>
      <c r="I147" t="s">
        <v>30</v>
      </c>
      <c r="K147" s="11">
        <v>46175</v>
      </c>
    </row>
    <row r="148" spans="1:11" x14ac:dyDescent="0.35">
      <c r="A148">
        <v>2026</v>
      </c>
      <c r="C148" t="s">
        <v>43</v>
      </c>
      <c r="D148" t="s">
        <v>244</v>
      </c>
      <c r="E148" t="s">
        <v>245</v>
      </c>
      <c r="F148" t="s">
        <v>246</v>
      </c>
      <c r="G148" t="s">
        <v>20</v>
      </c>
      <c r="H148" t="s">
        <v>21</v>
      </c>
      <c r="I148" t="s">
        <v>31</v>
      </c>
      <c r="K148" s="11">
        <v>46235</v>
      </c>
    </row>
    <row r="149" spans="1:11" x14ac:dyDescent="0.35">
      <c r="A149">
        <v>2026</v>
      </c>
      <c r="C149" t="s">
        <v>41</v>
      </c>
      <c r="D149" t="s">
        <v>247</v>
      </c>
      <c r="E149" t="s">
        <v>248</v>
      </c>
      <c r="F149" t="s">
        <v>222</v>
      </c>
      <c r="G149" t="s">
        <v>20</v>
      </c>
      <c r="H149" t="s">
        <v>19</v>
      </c>
      <c r="I149" t="s">
        <v>38</v>
      </c>
      <c r="J149" s="3">
        <v>1</v>
      </c>
      <c r="K149" s="11">
        <v>46140</v>
      </c>
    </row>
    <row r="150" spans="1:11" x14ac:dyDescent="0.35">
      <c r="A150">
        <v>2026</v>
      </c>
      <c r="C150" t="s">
        <v>41</v>
      </c>
      <c r="D150" t="s">
        <v>249</v>
      </c>
      <c r="E150" t="s">
        <v>250</v>
      </c>
      <c r="F150" t="s">
        <v>200</v>
      </c>
      <c r="G150" t="s">
        <v>21</v>
      </c>
      <c r="H150" t="s">
        <v>20</v>
      </c>
      <c r="I150" t="s">
        <v>30</v>
      </c>
      <c r="J150">
        <v>1</v>
      </c>
      <c r="K150" s="11">
        <v>46157</v>
      </c>
    </row>
    <row r="151" spans="1:11" x14ac:dyDescent="0.35">
      <c r="A151">
        <v>2026</v>
      </c>
      <c r="C151" t="s">
        <v>41</v>
      </c>
      <c r="D151" t="s">
        <v>249</v>
      </c>
      <c r="E151" t="s">
        <v>251</v>
      </c>
      <c r="F151" t="s">
        <v>252</v>
      </c>
      <c r="G151" t="s">
        <v>20</v>
      </c>
      <c r="I151" t="s">
        <v>30</v>
      </c>
      <c r="K151" s="11">
        <v>46161</v>
      </c>
    </row>
    <row r="152" spans="1:11" x14ac:dyDescent="0.35">
      <c r="A152">
        <v>2026</v>
      </c>
      <c r="C152" t="s">
        <v>41</v>
      </c>
      <c r="D152" t="s">
        <v>253</v>
      </c>
      <c r="E152" t="s">
        <v>254</v>
      </c>
      <c r="F152" t="s">
        <v>255</v>
      </c>
      <c r="G152" t="s">
        <v>19</v>
      </c>
      <c r="I152" t="s">
        <v>38</v>
      </c>
      <c r="J152" s="3">
        <v>1</v>
      </c>
      <c r="K152" s="11">
        <v>46156</v>
      </c>
    </row>
    <row r="153" spans="1:11" x14ac:dyDescent="0.35">
      <c r="A153">
        <v>2026</v>
      </c>
      <c r="C153" t="s">
        <v>41</v>
      </c>
      <c r="D153" t="s">
        <v>256</v>
      </c>
      <c r="E153" t="s">
        <v>257</v>
      </c>
      <c r="F153" t="s">
        <v>258</v>
      </c>
      <c r="G153" t="s">
        <v>20</v>
      </c>
      <c r="I153" t="s">
        <v>30</v>
      </c>
      <c r="K153" s="11">
        <v>46161</v>
      </c>
    </row>
    <row r="154" spans="1:11" x14ac:dyDescent="0.35">
      <c r="A154">
        <v>2026</v>
      </c>
      <c r="C154" t="s">
        <v>43</v>
      </c>
      <c r="D154" t="s">
        <v>259</v>
      </c>
      <c r="E154" t="s">
        <v>260</v>
      </c>
      <c r="F154" t="s">
        <v>261</v>
      </c>
      <c r="G154" t="s">
        <v>20</v>
      </c>
      <c r="H154" t="s">
        <v>19</v>
      </c>
      <c r="I154" t="s">
        <v>30</v>
      </c>
      <c r="J154">
        <v>0.8</v>
      </c>
      <c r="K154" s="11">
        <v>46160</v>
      </c>
    </row>
    <row r="155" spans="1:11" x14ac:dyDescent="0.35">
      <c r="A155">
        <v>2026</v>
      </c>
      <c r="C155" t="s">
        <v>41</v>
      </c>
      <c r="D155" t="s">
        <v>262</v>
      </c>
      <c r="E155" t="s">
        <v>263</v>
      </c>
      <c r="F155" t="s">
        <v>264</v>
      </c>
      <c r="G155" t="s">
        <v>19</v>
      </c>
      <c r="H155" t="s">
        <v>20</v>
      </c>
      <c r="I155" t="s">
        <v>38</v>
      </c>
      <c r="J155" s="3">
        <v>1</v>
      </c>
      <c r="K155" s="11">
        <v>46154</v>
      </c>
    </row>
    <row r="156" spans="1:11" x14ac:dyDescent="0.35">
      <c r="A156">
        <v>2026</v>
      </c>
      <c r="C156" t="s">
        <v>41</v>
      </c>
      <c r="D156" t="s">
        <v>265</v>
      </c>
      <c r="E156" t="s">
        <v>266</v>
      </c>
      <c r="F156" t="s">
        <v>267</v>
      </c>
      <c r="G156" t="s">
        <v>19</v>
      </c>
      <c r="H156" t="s">
        <v>20</v>
      </c>
      <c r="I156" t="s">
        <v>30</v>
      </c>
      <c r="J156">
        <v>0.8</v>
      </c>
      <c r="K156" s="11">
        <v>46161</v>
      </c>
    </row>
    <row r="157" spans="1:11" x14ac:dyDescent="0.35">
      <c r="A157">
        <v>2026</v>
      </c>
      <c r="C157" t="s">
        <v>43</v>
      </c>
      <c r="D157" t="s">
        <v>159</v>
      </c>
      <c r="E157" t="s">
        <v>268</v>
      </c>
      <c r="F157" t="s">
        <v>269</v>
      </c>
      <c r="G157" t="s">
        <v>20</v>
      </c>
      <c r="I157" t="s">
        <v>38</v>
      </c>
      <c r="J157" s="3">
        <v>1</v>
      </c>
      <c r="K157" s="11">
        <v>46174</v>
      </c>
    </row>
    <row r="158" spans="1:11" x14ac:dyDescent="0.35">
      <c r="A158">
        <v>2026</v>
      </c>
      <c r="C158" t="s">
        <v>43</v>
      </c>
      <c r="D158" t="s">
        <v>159</v>
      </c>
      <c r="E158" t="s">
        <v>220</v>
      </c>
      <c r="F158" t="s">
        <v>200</v>
      </c>
      <c r="G158" t="s">
        <v>36</v>
      </c>
      <c r="H158" t="s">
        <v>21</v>
      </c>
      <c r="I158" t="s">
        <v>30</v>
      </c>
      <c r="J158">
        <v>0.6</v>
      </c>
      <c r="K158" s="11">
        <v>46174</v>
      </c>
    </row>
    <row r="159" spans="1:11" x14ac:dyDescent="0.35">
      <c r="A159">
        <v>2026</v>
      </c>
      <c r="C159" t="s">
        <v>43</v>
      </c>
      <c r="D159" t="s">
        <v>159</v>
      </c>
      <c r="E159" t="s">
        <v>270</v>
      </c>
      <c r="F159" t="s">
        <v>276</v>
      </c>
      <c r="G159" t="s">
        <v>36</v>
      </c>
      <c r="H159" t="s">
        <v>20</v>
      </c>
      <c r="I159" t="s">
        <v>30</v>
      </c>
      <c r="J159">
        <v>0.2</v>
      </c>
      <c r="K159" s="11">
        <v>46174</v>
      </c>
    </row>
    <row r="160" spans="1:11" x14ac:dyDescent="0.35">
      <c r="A160">
        <v>2026</v>
      </c>
      <c r="C160" t="s">
        <v>43</v>
      </c>
      <c r="D160" t="s">
        <v>159</v>
      </c>
      <c r="E160" t="s">
        <v>271</v>
      </c>
      <c r="F160" t="s">
        <v>272</v>
      </c>
      <c r="G160" t="s">
        <v>36</v>
      </c>
      <c r="H160" t="s">
        <v>20</v>
      </c>
      <c r="I160" t="s">
        <v>30</v>
      </c>
      <c r="J160">
        <v>0.7</v>
      </c>
      <c r="K160" s="11">
        <v>46174</v>
      </c>
    </row>
    <row r="161" spans="1:11" x14ac:dyDescent="0.35">
      <c r="A161">
        <v>2026</v>
      </c>
      <c r="C161" t="s">
        <v>43</v>
      </c>
      <c r="D161" t="s">
        <v>159</v>
      </c>
      <c r="E161" t="s">
        <v>274</v>
      </c>
      <c r="F161" t="s">
        <v>277</v>
      </c>
      <c r="G161" t="s">
        <v>20</v>
      </c>
      <c r="I161" t="s">
        <v>30</v>
      </c>
      <c r="K161" s="11">
        <v>46174</v>
      </c>
    </row>
    <row r="162" spans="1:11" x14ac:dyDescent="0.35">
      <c r="A162">
        <v>2026</v>
      </c>
      <c r="C162" t="s">
        <v>43</v>
      </c>
      <c r="D162" t="s">
        <v>159</v>
      </c>
      <c r="E162" t="s">
        <v>275</v>
      </c>
      <c r="F162" t="s">
        <v>278</v>
      </c>
      <c r="G162" t="s">
        <v>20</v>
      </c>
      <c r="I162" t="s">
        <v>30</v>
      </c>
      <c r="K162" s="11">
        <v>46174</v>
      </c>
    </row>
    <row r="163" spans="1:11" x14ac:dyDescent="0.35">
      <c r="A163">
        <v>2026</v>
      </c>
      <c r="C163" t="s">
        <v>41</v>
      </c>
      <c r="D163" t="s">
        <v>279</v>
      </c>
      <c r="E163" t="s">
        <v>280</v>
      </c>
      <c r="F163" t="s">
        <v>281</v>
      </c>
      <c r="G163" t="s">
        <v>19</v>
      </c>
      <c r="H163" t="s">
        <v>20</v>
      </c>
      <c r="I163" t="s">
        <v>30</v>
      </c>
      <c r="J163">
        <v>0.2</v>
      </c>
      <c r="K163" s="11">
        <v>46170</v>
      </c>
    </row>
    <row r="164" spans="1:11" x14ac:dyDescent="0.35">
      <c r="A164">
        <v>2026</v>
      </c>
      <c r="C164" t="s">
        <v>41</v>
      </c>
      <c r="D164" t="s">
        <v>279</v>
      </c>
      <c r="E164" t="s">
        <v>282</v>
      </c>
      <c r="F164" t="s">
        <v>283</v>
      </c>
      <c r="G164" t="s">
        <v>20</v>
      </c>
      <c r="I164" t="s">
        <v>30</v>
      </c>
      <c r="K164" s="11">
        <v>46170</v>
      </c>
    </row>
    <row r="165" spans="1:11" x14ac:dyDescent="0.35">
      <c r="A165">
        <v>2026</v>
      </c>
      <c r="C165" t="s">
        <v>42</v>
      </c>
      <c r="D165" t="s">
        <v>284</v>
      </c>
      <c r="E165" t="s">
        <v>285</v>
      </c>
      <c r="F165" t="s">
        <v>286</v>
      </c>
      <c r="G165" t="s">
        <v>20</v>
      </c>
      <c r="I165" t="s">
        <v>30</v>
      </c>
      <c r="K165" s="11">
        <v>46161</v>
      </c>
    </row>
    <row r="166" spans="1:11" x14ac:dyDescent="0.35">
      <c r="A166">
        <v>2026</v>
      </c>
      <c r="C166" t="s">
        <v>176</v>
      </c>
      <c r="D166" t="s">
        <v>287</v>
      </c>
      <c r="E166" t="s">
        <v>288</v>
      </c>
      <c r="F166" t="s">
        <v>273</v>
      </c>
      <c r="G166" t="s">
        <v>19</v>
      </c>
      <c r="I166" t="s">
        <v>38</v>
      </c>
      <c r="J166" s="3">
        <v>1</v>
      </c>
      <c r="K166" s="11">
        <v>46029</v>
      </c>
    </row>
    <row r="167" spans="1:11" x14ac:dyDescent="0.35">
      <c r="A167">
        <v>2026</v>
      </c>
      <c r="C167" t="s">
        <v>176</v>
      </c>
      <c r="D167" t="s">
        <v>287</v>
      </c>
      <c r="E167" t="s">
        <v>289</v>
      </c>
      <c r="F167" t="s">
        <v>273</v>
      </c>
      <c r="G167" t="s">
        <v>19</v>
      </c>
      <c r="I167" t="s">
        <v>38</v>
      </c>
      <c r="J167" s="3">
        <v>1</v>
      </c>
      <c r="K167" s="11">
        <v>46031</v>
      </c>
    </row>
    <row r="168" spans="1:11" x14ac:dyDescent="0.35">
      <c r="A168">
        <v>2026</v>
      </c>
      <c r="C168" t="s">
        <v>176</v>
      </c>
      <c r="D168" t="s">
        <v>287</v>
      </c>
      <c r="E168" t="s">
        <v>316</v>
      </c>
      <c r="F168" t="s">
        <v>273</v>
      </c>
      <c r="G168" t="s">
        <v>19</v>
      </c>
      <c r="I168" t="s">
        <v>38</v>
      </c>
      <c r="J168" s="3">
        <v>1</v>
      </c>
      <c r="K168" s="11">
        <v>46034</v>
      </c>
    </row>
    <row r="169" spans="1:11" x14ac:dyDescent="0.35">
      <c r="A169">
        <v>2026</v>
      </c>
      <c r="C169" t="s">
        <v>176</v>
      </c>
      <c r="D169" t="s">
        <v>287</v>
      </c>
      <c r="E169" t="s">
        <v>290</v>
      </c>
      <c r="F169" t="s">
        <v>273</v>
      </c>
      <c r="G169" t="s">
        <v>19</v>
      </c>
      <c r="I169" t="s">
        <v>38</v>
      </c>
      <c r="J169" s="3">
        <v>1</v>
      </c>
      <c r="K169" s="11">
        <v>46034</v>
      </c>
    </row>
    <row r="170" spans="1:11" x14ac:dyDescent="0.35">
      <c r="A170">
        <v>2026</v>
      </c>
      <c r="C170" t="s">
        <v>176</v>
      </c>
      <c r="D170" t="s">
        <v>287</v>
      </c>
      <c r="E170" t="s">
        <v>317</v>
      </c>
      <c r="F170" t="s">
        <v>273</v>
      </c>
      <c r="G170" t="s">
        <v>19</v>
      </c>
      <c r="I170" t="s">
        <v>38</v>
      </c>
      <c r="J170" s="3">
        <v>1</v>
      </c>
      <c r="K170" s="11">
        <v>46038</v>
      </c>
    </row>
    <row r="171" spans="1:11" x14ac:dyDescent="0.35">
      <c r="A171">
        <v>2026</v>
      </c>
      <c r="C171" t="s">
        <v>176</v>
      </c>
      <c r="D171" t="s">
        <v>287</v>
      </c>
      <c r="E171" t="s">
        <v>291</v>
      </c>
      <c r="F171" t="s">
        <v>273</v>
      </c>
      <c r="G171" t="s">
        <v>19</v>
      </c>
      <c r="I171" t="s">
        <v>38</v>
      </c>
      <c r="J171" s="3">
        <v>1</v>
      </c>
      <c r="K171" s="11">
        <v>46049</v>
      </c>
    </row>
    <row r="172" spans="1:11" x14ac:dyDescent="0.35">
      <c r="A172">
        <v>2026</v>
      </c>
      <c r="C172" t="s">
        <v>176</v>
      </c>
      <c r="D172" t="s">
        <v>287</v>
      </c>
      <c r="E172" t="s">
        <v>292</v>
      </c>
      <c r="F172" t="s">
        <v>273</v>
      </c>
      <c r="G172" t="s">
        <v>19</v>
      </c>
      <c r="I172" t="s">
        <v>38</v>
      </c>
      <c r="J172" s="3">
        <v>1</v>
      </c>
      <c r="K172" s="11">
        <v>46056</v>
      </c>
    </row>
    <row r="173" spans="1:11" x14ac:dyDescent="0.35">
      <c r="A173">
        <v>2026</v>
      </c>
      <c r="C173" t="s">
        <v>176</v>
      </c>
      <c r="D173" t="s">
        <v>287</v>
      </c>
      <c r="E173" t="s">
        <v>293</v>
      </c>
      <c r="F173" t="s">
        <v>273</v>
      </c>
      <c r="G173" t="s">
        <v>19</v>
      </c>
      <c r="I173" t="s">
        <v>38</v>
      </c>
      <c r="J173" s="3">
        <v>1</v>
      </c>
      <c r="K173" s="11">
        <v>46059</v>
      </c>
    </row>
    <row r="174" spans="1:11" x14ac:dyDescent="0.35">
      <c r="A174">
        <v>2026</v>
      </c>
      <c r="C174" t="s">
        <v>176</v>
      </c>
      <c r="D174" t="s">
        <v>287</v>
      </c>
      <c r="E174" t="s">
        <v>294</v>
      </c>
      <c r="F174" t="s">
        <v>273</v>
      </c>
      <c r="G174" t="s">
        <v>19</v>
      </c>
      <c r="I174" t="s">
        <v>38</v>
      </c>
      <c r="J174" s="3">
        <v>1</v>
      </c>
      <c r="K174" s="11">
        <v>46058</v>
      </c>
    </row>
    <row r="175" spans="1:11" x14ac:dyDescent="0.35">
      <c r="A175">
        <v>2026</v>
      </c>
      <c r="C175" t="s">
        <v>176</v>
      </c>
      <c r="D175" t="s">
        <v>287</v>
      </c>
      <c r="E175" t="s">
        <v>295</v>
      </c>
      <c r="F175" t="s">
        <v>273</v>
      </c>
      <c r="G175" t="s">
        <v>19</v>
      </c>
      <c r="I175" t="s">
        <v>38</v>
      </c>
      <c r="J175" s="3">
        <v>1</v>
      </c>
      <c r="K175" s="11">
        <v>46058</v>
      </c>
    </row>
    <row r="176" spans="1:11" x14ac:dyDescent="0.35">
      <c r="A176">
        <v>2026</v>
      </c>
      <c r="C176" t="s">
        <v>176</v>
      </c>
      <c r="D176" t="s">
        <v>287</v>
      </c>
      <c r="E176" t="s">
        <v>296</v>
      </c>
      <c r="F176" t="s">
        <v>273</v>
      </c>
      <c r="G176" t="s">
        <v>19</v>
      </c>
      <c r="I176" t="s">
        <v>38</v>
      </c>
      <c r="J176" s="3">
        <v>1</v>
      </c>
      <c r="K176" s="11">
        <v>46058</v>
      </c>
    </row>
    <row r="177" spans="1:11" x14ac:dyDescent="0.35">
      <c r="A177">
        <v>2026</v>
      </c>
      <c r="C177" t="s">
        <v>176</v>
      </c>
      <c r="D177" t="s">
        <v>287</v>
      </c>
      <c r="E177" t="s">
        <v>297</v>
      </c>
      <c r="F177" t="s">
        <v>273</v>
      </c>
      <c r="G177" t="s">
        <v>19</v>
      </c>
      <c r="I177" t="s">
        <v>38</v>
      </c>
      <c r="J177" s="3">
        <v>1</v>
      </c>
      <c r="K177" s="11">
        <v>46058</v>
      </c>
    </row>
    <row r="178" spans="1:11" x14ac:dyDescent="0.35">
      <c r="A178">
        <v>2026</v>
      </c>
      <c r="C178" t="s">
        <v>176</v>
      </c>
      <c r="D178" t="s">
        <v>287</v>
      </c>
      <c r="E178" t="s">
        <v>298</v>
      </c>
      <c r="F178" t="s">
        <v>273</v>
      </c>
      <c r="G178" t="s">
        <v>19</v>
      </c>
      <c r="I178" t="s">
        <v>38</v>
      </c>
      <c r="J178" s="3">
        <v>1</v>
      </c>
      <c r="K178" s="11">
        <v>46059</v>
      </c>
    </row>
    <row r="179" spans="1:11" x14ac:dyDescent="0.35">
      <c r="A179">
        <v>2026</v>
      </c>
      <c r="C179" t="s">
        <v>176</v>
      </c>
      <c r="D179" t="s">
        <v>287</v>
      </c>
      <c r="E179" t="s">
        <v>299</v>
      </c>
      <c r="F179" t="s">
        <v>273</v>
      </c>
      <c r="G179" t="s">
        <v>19</v>
      </c>
      <c r="I179" t="s">
        <v>38</v>
      </c>
      <c r="J179" s="3">
        <v>1</v>
      </c>
      <c r="K179" s="11">
        <v>46059</v>
      </c>
    </row>
    <row r="180" spans="1:11" x14ac:dyDescent="0.35">
      <c r="A180">
        <v>2026</v>
      </c>
      <c r="C180" t="s">
        <v>176</v>
      </c>
      <c r="D180" t="s">
        <v>287</v>
      </c>
      <c r="E180" t="s">
        <v>300</v>
      </c>
      <c r="F180" t="s">
        <v>273</v>
      </c>
      <c r="G180" t="s">
        <v>19</v>
      </c>
      <c r="I180" t="s">
        <v>38</v>
      </c>
      <c r="J180" s="3">
        <v>1</v>
      </c>
      <c r="K180" s="11">
        <v>46079</v>
      </c>
    </row>
    <row r="181" spans="1:11" x14ac:dyDescent="0.35">
      <c r="A181">
        <v>2026</v>
      </c>
      <c r="C181" t="s">
        <v>176</v>
      </c>
      <c r="D181" t="s">
        <v>287</v>
      </c>
      <c r="E181" t="s">
        <v>301</v>
      </c>
      <c r="F181" t="s">
        <v>273</v>
      </c>
      <c r="G181" t="s">
        <v>19</v>
      </c>
      <c r="I181" t="s">
        <v>38</v>
      </c>
      <c r="J181" s="3">
        <v>1</v>
      </c>
      <c r="K181" s="11">
        <v>46082</v>
      </c>
    </row>
    <row r="182" spans="1:11" x14ac:dyDescent="0.35">
      <c r="A182">
        <v>2026</v>
      </c>
      <c r="C182" t="s">
        <v>176</v>
      </c>
      <c r="D182" t="s">
        <v>287</v>
      </c>
      <c r="E182" t="s">
        <v>302</v>
      </c>
      <c r="F182" t="s">
        <v>273</v>
      </c>
      <c r="G182" t="s">
        <v>19</v>
      </c>
      <c r="I182" t="s">
        <v>38</v>
      </c>
      <c r="J182" s="3">
        <v>1</v>
      </c>
      <c r="K182" s="11">
        <v>46041</v>
      </c>
    </row>
    <row r="183" spans="1:11" x14ac:dyDescent="0.35">
      <c r="A183">
        <v>2026</v>
      </c>
      <c r="C183" t="s">
        <v>176</v>
      </c>
      <c r="D183" t="s">
        <v>287</v>
      </c>
      <c r="E183" t="s">
        <v>303</v>
      </c>
      <c r="F183" t="s">
        <v>273</v>
      </c>
      <c r="G183" t="s">
        <v>19</v>
      </c>
      <c r="I183" t="s">
        <v>38</v>
      </c>
      <c r="J183" s="3">
        <v>1</v>
      </c>
      <c r="K183" s="11">
        <v>46041</v>
      </c>
    </row>
    <row r="184" spans="1:11" x14ac:dyDescent="0.35">
      <c r="A184">
        <v>2026</v>
      </c>
      <c r="C184" t="s">
        <v>176</v>
      </c>
      <c r="D184" t="s">
        <v>287</v>
      </c>
      <c r="E184" t="s">
        <v>304</v>
      </c>
      <c r="F184" t="s">
        <v>273</v>
      </c>
      <c r="G184" t="s">
        <v>19</v>
      </c>
      <c r="I184" t="s">
        <v>38</v>
      </c>
      <c r="J184" s="3">
        <v>1</v>
      </c>
      <c r="K184" s="11">
        <v>46044</v>
      </c>
    </row>
    <row r="185" spans="1:11" x14ac:dyDescent="0.35">
      <c r="A185">
        <v>2026</v>
      </c>
      <c r="C185" t="s">
        <v>176</v>
      </c>
      <c r="D185" t="s">
        <v>287</v>
      </c>
      <c r="E185" t="s">
        <v>305</v>
      </c>
      <c r="F185" t="s">
        <v>273</v>
      </c>
      <c r="G185" t="s">
        <v>19</v>
      </c>
      <c r="I185" t="s">
        <v>38</v>
      </c>
      <c r="J185" s="3">
        <v>1</v>
      </c>
      <c r="K185" s="11">
        <v>46048</v>
      </c>
    </row>
    <row r="186" spans="1:11" x14ac:dyDescent="0.35">
      <c r="A186">
        <v>2026</v>
      </c>
      <c r="C186" t="s">
        <v>176</v>
      </c>
      <c r="D186" t="s">
        <v>287</v>
      </c>
      <c r="E186" t="s">
        <v>306</v>
      </c>
      <c r="F186" t="s">
        <v>273</v>
      </c>
      <c r="G186" t="s">
        <v>19</v>
      </c>
      <c r="I186" t="s">
        <v>38</v>
      </c>
      <c r="J186" s="3">
        <v>1</v>
      </c>
      <c r="K186" s="11">
        <v>46048</v>
      </c>
    </row>
    <row r="187" spans="1:11" x14ac:dyDescent="0.35">
      <c r="A187">
        <v>2026</v>
      </c>
      <c r="C187" t="s">
        <v>176</v>
      </c>
      <c r="D187" t="s">
        <v>287</v>
      </c>
      <c r="E187" t="s">
        <v>307</v>
      </c>
      <c r="F187" t="s">
        <v>273</v>
      </c>
      <c r="G187" t="s">
        <v>19</v>
      </c>
      <c r="I187" t="s">
        <v>38</v>
      </c>
      <c r="J187" s="3">
        <v>1</v>
      </c>
      <c r="K187" s="11">
        <v>46062</v>
      </c>
    </row>
    <row r="188" spans="1:11" x14ac:dyDescent="0.35">
      <c r="A188">
        <v>2026</v>
      </c>
      <c r="C188" t="s">
        <v>176</v>
      </c>
      <c r="D188" t="s">
        <v>287</v>
      </c>
      <c r="E188" t="s">
        <v>308</v>
      </c>
      <c r="F188" t="s">
        <v>273</v>
      </c>
      <c r="G188" t="s">
        <v>19</v>
      </c>
      <c r="I188" t="s">
        <v>38</v>
      </c>
      <c r="J188" s="3">
        <v>1</v>
      </c>
      <c r="K188" s="11">
        <v>46097</v>
      </c>
    </row>
    <row r="189" spans="1:11" x14ac:dyDescent="0.35">
      <c r="A189">
        <v>2026</v>
      </c>
      <c r="C189" t="s">
        <v>176</v>
      </c>
      <c r="D189" t="s">
        <v>287</v>
      </c>
      <c r="E189" t="s">
        <v>309</v>
      </c>
      <c r="F189" t="s">
        <v>273</v>
      </c>
      <c r="G189" t="s">
        <v>19</v>
      </c>
      <c r="I189" t="s">
        <v>38</v>
      </c>
      <c r="J189" s="3">
        <v>1</v>
      </c>
      <c r="K189" s="11">
        <v>46098</v>
      </c>
    </row>
    <row r="190" spans="1:11" x14ac:dyDescent="0.35">
      <c r="A190">
        <v>2026</v>
      </c>
      <c r="C190" t="s">
        <v>176</v>
      </c>
      <c r="D190" t="s">
        <v>287</v>
      </c>
      <c r="E190" t="s">
        <v>310</v>
      </c>
      <c r="F190" t="s">
        <v>273</v>
      </c>
      <c r="G190" t="s">
        <v>19</v>
      </c>
      <c r="I190" t="s">
        <v>38</v>
      </c>
      <c r="J190" s="3">
        <v>1</v>
      </c>
      <c r="K190" s="11">
        <v>46100</v>
      </c>
    </row>
    <row r="191" spans="1:11" x14ac:dyDescent="0.35">
      <c r="A191">
        <v>2026</v>
      </c>
      <c r="C191" t="s">
        <v>176</v>
      </c>
      <c r="D191" t="s">
        <v>287</v>
      </c>
      <c r="E191" t="s">
        <v>311</v>
      </c>
      <c r="F191" t="s">
        <v>273</v>
      </c>
      <c r="G191" t="s">
        <v>19</v>
      </c>
      <c r="I191" t="s">
        <v>38</v>
      </c>
      <c r="J191" s="3">
        <v>1</v>
      </c>
      <c r="K191" s="11">
        <v>46084</v>
      </c>
    </row>
    <row r="192" spans="1:11" x14ac:dyDescent="0.35">
      <c r="A192">
        <v>2026</v>
      </c>
      <c r="C192" t="s">
        <v>176</v>
      </c>
      <c r="D192" t="s">
        <v>287</v>
      </c>
      <c r="E192" t="s">
        <v>312</v>
      </c>
      <c r="F192" t="s">
        <v>273</v>
      </c>
      <c r="G192" t="s">
        <v>19</v>
      </c>
      <c r="I192" t="s">
        <v>38</v>
      </c>
      <c r="J192" s="3">
        <v>1</v>
      </c>
      <c r="K192" s="11">
        <v>46119</v>
      </c>
    </row>
    <row r="193" spans="1:11" x14ac:dyDescent="0.35">
      <c r="A193">
        <v>2026</v>
      </c>
      <c r="C193" t="s">
        <v>176</v>
      </c>
      <c r="D193" t="s">
        <v>287</v>
      </c>
      <c r="E193" t="s">
        <v>313</v>
      </c>
      <c r="F193" t="s">
        <v>273</v>
      </c>
      <c r="G193" t="s">
        <v>19</v>
      </c>
      <c r="I193" t="s">
        <v>38</v>
      </c>
      <c r="J193" s="3">
        <v>1</v>
      </c>
      <c r="K193" s="11">
        <v>46120</v>
      </c>
    </row>
    <row r="194" spans="1:11" x14ac:dyDescent="0.35">
      <c r="A194">
        <v>2026</v>
      </c>
      <c r="C194" t="s">
        <v>176</v>
      </c>
      <c r="D194" t="s">
        <v>287</v>
      </c>
      <c r="E194" t="s">
        <v>314</v>
      </c>
      <c r="F194" t="s">
        <v>273</v>
      </c>
      <c r="G194" t="s">
        <v>19</v>
      </c>
      <c r="I194" t="s">
        <v>38</v>
      </c>
      <c r="J194" s="3">
        <v>1</v>
      </c>
      <c r="K194" s="11">
        <v>46150</v>
      </c>
    </row>
    <row r="195" spans="1:11" x14ac:dyDescent="0.35">
      <c r="A195">
        <v>2026</v>
      </c>
      <c r="C195" t="s">
        <v>176</v>
      </c>
      <c r="D195" t="s">
        <v>287</v>
      </c>
      <c r="E195" t="s">
        <v>315</v>
      </c>
      <c r="F195" t="s">
        <v>273</v>
      </c>
      <c r="G195" t="s">
        <v>19</v>
      </c>
      <c r="I195" t="s">
        <v>38</v>
      </c>
      <c r="J195" s="3">
        <v>1</v>
      </c>
      <c r="K195" s="11">
        <v>46150</v>
      </c>
    </row>
    <row r="196" spans="1:11" x14ac:dyDescent="0.35">
      <c r="A196">
        <v>2026</v>
      </c>
      <c r="C196" t="s">
        <v>176</v>
      </c>
      <c r="D196" t="s">
        <v>287</v>
      </c>
      <c r="E196" t="s">
        <v>318</v>
      </c>
      <c r="F196" t="s">
        <v>273</v>
      </c>
      <c r="G196" t="s">
        <v>19</v>
      </c>
      <c r="I196" t="s">
        <v>38</v>
      </c>
      <c r="J196" s="3">
        <v>1</v>
      </c>
      <c r="K196" s="11">
        <v>46153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3CD44B7-EBAE-4F4C-A089-517440474394}">
          <x14:formula1>
            <xm:f>Listas!$F$2:$F$5</xm:f>
          </x14:formula1>
          <xm:sqref>C97 C2:C67 C108:C196</xm:sqref>
        </x14:dataValidation>
        <x14:dataValidation type="list" allowBlank="1" showInputMessage="1" showErrorMessage="1" xr:uid="{EBAB0A1C-A830-445D-ABAA-F034EC98B16F}">
          <x14:formula1>
            <xm:f>Listas!$C$2:$C$5</xm:f>
          </x14:formula1>
          <xm:sqref>H88:H91 G197:G1048576 I2:I196</xm:sqref>
        </x14:dataValidation>
        <x14:dataValidation type="list" allowBlank="1" showInputMessage="1" showErrorMessage="1" xr:uid="{4DD68AD0-F0B9-49E0-BFFF-79879A7125A8}">
          <x14:formula1>
            <xm:f>Listas!$D$2:$D$12</xm:f>
          </x14:formula1>
          <xm:sqref>H197:H1048576 J2:J196</xm:sqref>
        </x14:dataValidation>
        <x14:dataValidation type="list" allowBlank="1" showInputMessage="1" showErrorMessage="1" xr:uid="{CB93F1A1-E582-4BC0-AAE0-2C3FFF7EC902}">
          <x14:formula1>
            <xm:f>Listas!$F$2:$F$4</xm:f>
          </x14:formula1>
          <xm:sqref>C68:C87 C98 C89:C90 C96 C101 C104 C106:C107 B88:B1048576</xm:sqref>
        </x14:dataValidation>
        <x14:dataValidation type="list" allowBlank="1" showInputMessage="1" showErrorMessage="1" xr:uid="{2C7E3E57-B6ED-45D8-8808-FB66061337FF}">
          <x14:formula1>
            <xm:f>Listas!$A$2:$A$7</xm:f>
          </x14:formula1>
          <xm:sqref>G2:G87 G93:G95 F88:F101 E197:E1048576 H92:H196</xm:sqref>
        </x14:dataValidation>
        <x14:dataValidation type="list" allowBlank="1" showInputMessage="1" showErrorMessage="1" xr:uid="{AF4BFA06-AFB4-4C7F-8BB7-C30F356E8CEB}">
          <x14:formula1>
            <xm:f>Listas!$B$2:$B$6</xm:f>
          </x14:formula1>
          <xm:sqref>H2:H87 G88:G92 F102:F107 F197:F1048576 G96:G196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75744-CFFA-4C95-B72D-58C63E6D861A}">
  <dimension ref="A1:F12"/>
  <sheetViews>
    <sheetView workbookViewId="0">
      <selection activeCell="B5" sqref="B5:B6"/>
    </sheetView>
  </sheetViews>
  <sheetFormatPr baseColWidth="10" defaultRowHeight="14.5" x14ac:dyDescent="0.35"/>
  <cols>
    <col min="1" max="1" width="11.453125" bestFit="1" customWidth="1"/>
  </cols>
  <sheetData>
    <row r="1" spans="1:6" x14ac:dyDescent="0.35">
      <c r="A1" s="1" t="s">
        <v>17</v>
      </c>
      <c r="B1" s="1" t="s">
        <v>18</v>
      </c>
      <c r="C1" s="1" t="s">
        <v>27</v>
      </c>
      <c r="D1" s="1" t="s">
        <v>28</v>
      </c>
      <c r="E1" s="1" t="s">
        <v>29</v>
      </c>
      <c r="F1" s="1" t="s">
        <v>40</v>
      </c>
    </row>
    <row r="2" spans="1:6" x14ac:dyDescent="0.35">
      <c r="A2" t="s">
        <v>19</v>
      </c>
      <c r="B2" t="s">
        <v>19</v>
      </c>
      <c r="C2" t="s">
        <v>30</v>
      </c>
      <c r="D2" s="2">
        <v>0</v>
      </c>
      <c r="E2" t="s">
        <v>32</v>
      </c>
      <c r="F2" t="s">
        <v>41</v>
      </c>
    </row>
    <row r="3" spans="1:6" x14ac:dyDescent="0.35">
      <c r="A3" t="s">
        <v>20</v>
      </c>
      <c r="B3" t="s">
        <v>20</v>
      </c>
      <c r="C3" t="s">
        <v>38</v>
      </c>
      <c r="D3" s="2">
        <v>0.1</v>
      </c>
      <c r="E3" t="s">
        <v>33</v>
      </c>
      <c r="F3" t="s">
        <v>42</v>
      </c>
    </row>
    <row r="4" spans="1:6" x14ac:dyDescent="0.35">
      <c r="A4" t="s">
        <v>21</v>
      </c>
      <c r="B4" t="s">
        <v>21</v>
      </c>
      <c r="C4" t="s">
        <v>31</v>
      </c>
      <c r="D4" s="2">
        <v>0.2</v>
      </c>
      <c r="E4" t="s">
        <v>34</v>
      </c>
      <c r="F4" t="s">
        <v>43</v>
      </c>
    </row>
    <row r="5" spans="1:6" x14ac:dyDescent="0.35">
      <c r="A5" t="s">
        <v>24</v>
      </c>
      <c r="B5" t="s">
        <v>36</v>
      </c>
      <c r="C5" t="s">
        <v>39</v>
      </c>
      <c r="D5" s="2">
        <v>0.3</v>
      </c>
      <c r="F5" t="s">
        <v>176</v>
      </c>
    </row>
    <row r="6" spans="1:6" x14ac:dyDescent="0.35">
      <c r="A6" t="s">
        <v>25</v>
      </c>
      <c r="B6" t="s">
        <v>37</v>
      </c>
      <c r="D6" s="2">
        <v>0.4</v>
      </c>
    </row>
    <row r="7" spans="1:6" x14ac:dyDescent="0.35">
      <c r="A7" t="s">
        <v>26</v>
      </c>
      <c r="D7" s="2">
        <v>0.5</v>
      </c>
    </row>
    <row r="8" spans="1:6" x14ac:dyDescent="0.35">
      <c r="A8" t="s">
        <v>36</v>
      </c>
      <c r="D8" s="2">
        <v>0.6</v>
      </c>
    </row>
    <row r="9" spans="1:6" x14ac:dyDescent="0.35">
      <c r="D9" s="2">
        <v>0.7</v>
      </c>
    </row>
    <row r="10" spans="1:6" x14ac:dyDescent="0.35">
      <c r="D10" s="2">
        <v>0.8</v>
      </c>
    </row>
    <row r="11" spans="1:6" x14ac:dyDescent="0.35">
      <c r="D11" s="2">
        <v>0.9</v>
      </c>
    </row>
    <row r="12" spans="1:6" x14ac:dyDescent="0.35">
      <c r="D1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BA4D2-353B-47B6-A8C1-F39D09D9F26B}">
  <dimension ref="B3:H80"/>
  <sheetViews>
    <sheetView workbookViewId="0">
      <selection activeCell="J15" sqref="J15"/>
    </sheetView>
  </sheetViews>
  <sheetFormatPr baseColWidth="10" defaultRowHeight="14.5" x14ac:dyDescent="0.35"/>
  <cols>
    <col min="2" max="2" width="16.54296875" bestFit="1" customWidth="1"/>
    <col min="3" max="3" width="18.90625" bestFit="1" customWidth="1"/>
    <col min="7" max="7" width="22.36328125" bestFit="1" customWidth="1"/>
    <col min="8" max="8" width="23.1796875" bestFit="1" customWidth="1"/>
  </cols>
  <sheetData>
    <row r="3" spans="2:8" x14ac:dyDescent="0.35">
      <c r="B3" s="4" t="s">
        <v>122</v>
      </c>
      <c r="C3" t="s">
        <v>124</v>
      </c>
      <c r="G3" s="4" t="s">
        <v>122</v>
      </c>
      <c r="H3" t="s">
        <v>168</v>
      </c>
    </row>
    <row r="4" spans="2:8" x14ac:dyDescent="0.35">
      <c r="B4" s="5" t="s">
        <v>42</v>
      </c>
      <c r="C4">
        <v>8</v>
      </c>
      <c r="G4" s="5" t="s">
        <v>161</v>
      </c>
      <c r="H4">
        <v>1</v>
      </c>
    </row>
    <row r="5" spans="2:8" x14ac:dyDescent="0.35">
      <c r="B5" s="5" t="s">
        <v>43</v>
      </c>
      <c r="C5">
        <v>18</v>
      </c>
      <c r="G5" s="5" t="s">
        <v>166</v>
      </c>
      <c r="H5">
        <v>3</v>
      </c>
    </row>
    <row r="6" spans="2:8" x14ac:dyDescent="0.35">
      <c r="B6" s="5" t="s">
        <v>123</v>
      </c>
      <c r="C6">
        <v>26</v>
      </c>
      <c r="G6" s="5" t="s">
        <v>156</v>
      </c>
      <c r="H6">
        <v>12</v>
      </c>
    </row>
    <row r="7" spans="2:8" x14ac:dyDescent="0.35">
      <c r="G7" s="5" t="s">
        <v>164</v>
      </c>
      <c r="H7">
        <v>2</v>
      </c>
    </row>
    <row r="8" spans="2:8" x14ac:dyDescent="0.35">
      <c r="G8" s="5" t="s">
        <v>159</v>
      </c>
      <c r="H8">
        <v>1</v>
      </c>
    </row>
    <row r="9" spans="2:8" x14ac:dyDescent="0.35">
      <c r="G9" s="5" t="s">
        <v>163</v>
      </c>
      <c r="H9">
        <v>2</v>
      </c>
    </row>
    <row r="10" spans="2:8" x14ac:dyDescent="0.35">
      <c r="G10" s="5" t="s">
        <v>165</v>
      </c>
      <c r="H10">
        <v>6</v>
      </c>
    </row>
    <row r="11" spans="2:8" x14ac:dyDescent="0.35">
      <c r="G11" s="5" t="s">
        <v>81</v>
      </c>
      <c r="H11">
        <v>10</v>
      </c>
    </row>
    <row r="12" spans="2:8" x14ac:dyDescent="0.35">
      <c r="B12" s="4" t="s">
        <v>122</v>
      </c>
      <c r="C12" t="s">
        <v>126</v>
      </c>
      <c r="G12" s="5" t="s">
        <v>154</v>
      </c>
      <c r="H12">
        <v>5</v>
      </c>
    </row>
    <row r="13" spans="2:8" x14ac:dyDescent="0.35">
      <c r="B13" s="5" t="s">
        <v>21</v>
      </c>
      <c r="C13">
        <v>3</v>
      </c>
      <c r="G13" s="5" t="s">
        <v>160</v>
      </c>
      <c r="H13">
        <v>2</v>
      </c>
    </row>
    <row r="14" spans="2:8" x14ac:dyDescent="0.35">
      <c r="B14" s="5" t="s">
        <v>22</v>
      </c>
      <c r="C14">
        <v>3</v>
      </c>
      <c r="G14" s="5" t="s">
        <v>157</v>
      </c>
      <c r="H14">
        <v>2</v>
      </c>
    </row>
    <row r="15" spans="2:8" x14ac:dyDescent="0.35">
      <c r="B15" s="5" t="s">
        <v>19</v>
      </c>
      <c r="C15">
        <v>5</v>
      </c>
      <c r="G15" s="5" t="s">
        <v>155</v>
      </c>
      <c r="H15">
        <v>5</v>
      </c>
    </row>
    <row r="16" spans="2:8" x14ac:dyDescent="0.35">
      <c r="B16" s="5" t="s">
        <v>20</v>
      </c>
      <c r="C16">
        <v>15</v>
      </c>
      <c r="G16" s="5" t="s">
        <v>158</v>
      </c>
      <c r="H16">
        <v>15</v>
      </c>
    </row>
    <row r="17" spans="2:8" x14ac:dyDescent="0.35">
      <c r="B17" s="5" t="s">
        <v>123</v>
      </c>
      <c r="C17">
        <v>26</v>
      </c>
      <c r="G17" s="5" t="s">
        <v>167</v>
      </c>
      <c r="H17">
        <v>6</v>
      </c>
    </row>
    <row r="18" spans="2:8" x14ac:dyDescent="0.35">
      <c r="G18" s="5" t="s">
        <v>44</v>
      </c>
      <c r="H18">
        <v>1</v>
      </c>
    </row>
    <row r="19" spans="2:8" x14ac:dyDescent="0.35">
      <c r="G19" s="5" t="s">
        <v>98</v>
      </c>
      <c r="H19">
        <v>26</v>
      </c>
    </row>
    <row r="20" spans="2:8" x14ac:dyDescent="0.35">
      <c r="G20" s="5" t="s">
        <v>162</v>
      </c>
      <c r="H20">
        <v>1</v>
      </c>
    </row>
    <row r="21" spans="2:8" x14ac:dyDescent="0.35">
      <c r="B21" s="4" t="s">
        <v>122</v>
      </c>
      <c r="C21" t="s">
        <v>127</v>
      </c>
      <c r="G21" s="5" t="s">
        <v>123</v>
      </c>
      <c r="H21">
        <v>100</v>
      </c>
    </row>
    <row r="22" spans="2:8" x14ac:dyDescent="0.35">
      <c r="B22" s="5" t="s">
        <v>19</v>
      </c>
      <c r="C22">
        <v>4</v>
      </c>
    </row>
    <row r="23" spans="2:8" x14ac:dyDescent="0.35">
      <c r="B23" s="5" t="s">
        <v>20</v>
      </c>
      <c r="C23">
        <v>7</v>
      </c>
    </row>
    <row r="24" spans="2:8" x14ac:dyDescent="0.35">
      <c r="B24" s="5" t="s">
        <v>36</v>
      </c>
      <c r="C24">
        <v>4</v>
      </c>
    </row>
    <row r="25" spans="2:8" x14ac:dyDescent="0.35">
      <c r="B25" s="5" t="s">
        <v>37</v>
      </c>
      <c r="C25">
        <v>1</v>
      </c>
    </row>
    <row r="26" spans="2:8" x14ac:dyDescent="0.35">
      <c r="B26" s="5" t="s">
        <v>123</v>
      </c>
      <c r="C26">
        <v>16</v>
      </c>
    </row>
    <row r="30" spans="2:8" x14ac:dyDescent="0.35">
      <c r="B30" s="4" t="s">
        <v>122</v>
      </c>
      <c r="C30" t="s">
        <v>128</v>
      </c>
    </row>
    <row r="31" spans="2:8" x14ac:dyDescent="0.35">
      <c r="B31" s="5" t="s">
        <v>38</v>
      </c>
      <c r="C31">
        <v>15</v>
      </c>
    </row>
    <row r="32" spans="2:8" x14ac:dyDescent="0.35">
      <c r="B32" s="5" t="s">
        <v>30</v>
      </c>
      <c r="C32">
        <v>4</v>
      </c>
    </row>
    <row r="33" spans="2:3" x14ac:dyDescent="0.35">
      <c r="B33" s="5" t="s">
        <v>31</v>
      </c>
      <c r="C33">
        <v>2</v>
      </c>
    </row>
    <row r="34" spans="2:3" x14ac:dyDescent="0.35">
      <c r="B34" s="5" t="s">
        <v>39</v>
      </c>
      <c r="C34">
        <v>1</v>
      </c>
    </row>
    <row r="35" spans="2:3" x14ac:dyDescent="0.35">
      <c r="B35" s="5" t="s">
        <v>123</v>
      </c>
      <c r="C35">
        <v>22</v>
      </c>
    </row>
    <row r="38" spans="2:3" x14ac:dyDescent="0.35">
      <c r="B38" s="4" t="s">
        <v>3</v>
      </c>
      <c r="C38" t="s">
        <v>20</v>
      </c>
    </row>
    <row r="39" spans="2:3" x14ac:dyDescent="0.35">
      <c r="B39" s="4" t="s">
        <v>14</v>
      </c>
      <c r="C39" t="s">
        <v>133</v>
      </c>
    </row>
    <row r="41" spans="2:3" x14ac:dyDescent="0.35">
      <c r="B41" s="4" t="s">
        <v>122</v>
      </c>
      <c r="C41" t="s">
        <v>134</v>
      </c>
    </row>
    <row r="42" spans="2:3" x14ac:dyDescent="0.35">
      <c r="B42" s="5" t="s">
        <v>65</v>
      </c>
      <c r="C42">
        <v>1</v>
      </c>
    </row>
    <row r="43" spans="2:3" x14ac:dyDescent="0.35">
      <c r="B43" s="5" t="s">
        <v>64</v>
      </c>
      <c r="C43">
        <v>1</v>
      </c>
    </row>
    <row r="44" spans="2:3" x14ac:dyDescent="0.35">
      <c r="B44" s="5" t="s">
        <v>45</v>
      </c>
      <c r="C44">
        <v>1</v>
      </c>
    </row>
    <row r="45" spans="2:3" x14ac:dyDescent="0.35">
      <c r="B45" s="5" t="s">
        <v>53</v>
      </c>
      <c r="C45">
        <v>1</v>
      </c>
    </row>
    <row r="46" spans="2:3" x14ac:dyDescent="0.35">
      <c r="B46" s="5" t="s">
        <v>123</v>
      </c>
      <c r="C46">
        <v>4</v>
      </c>
    </row>
    <row r="49" spans="2:3" x14ac:dyDescent="0.35">
      <c r="B49" s="4" t="s">
        <v>3</v>
      </c>
      <c r="C49" t="s">
        <v>19</v>
      </c>
    </row>
    <row r="50" spans="2:3" x14ac:dyDescent="0.35">
      <c r="B50" s="4" t="s">
        <v>14</v>
      </c>
      <c r="C50" t="s">
        <v>133</v>
      </c>
    </row>
    <row r="52" spans="2:3" x14ac:dyDescent="0.35">
      <c r="B52" s="4" t="s">
        <v>122</v>
      </c>
      <c r="C52" t="s">
        <v>134</v>
      </c>
    </row>
    <row r="53" spans="2:3" x14ac:dyDescent="0.35">
      <c r="B53" s="5" t="s">
        <v>136</v>
      </c>
      <c r="C53">
        <v>1</v>
      </c>
    </row>
    <row r="54" spans="2:3" x14ac:dyDescent="0.35">
      <c r="B54" s="5" t="s">
        <v>137</v>
      </c>
      <c r="C54">
        <v>1</v>
      </c>
    </row>
    <row r="55" spans="2:3" x14ac:dyDescent="0.35">
      <c r="B55" s="5" t="s">
        <v>138</v>
      </c>
      <c r="C55">
        <v>1</v>
      </c>
    </row>
    <row r="56" spans="2:3" x14ac:dyDescent="0.35">
      <c r="B56" s="5" t="s">
        <v>123</v>
      </c>
      <c r="C56">
        <v>3</v>
      </c>
    </row>
    <row r="59" spans="2:3" x14ac:dyDescent="0.35">
      <c r="B59" s="4" t="s">
        <v>3</v>
      </c>
      <c r="C59" t="s">
        <v>21</v>
      </c>
    </row>
    <row r="60" spans="2:3" x14ac:dyDescent="0.35">
      <c r="B60" s="4" t="s">
        <v>14</v>
      </c>
      <c r="C60" t="s">
        <v>133</v>
      </c>
    </row>
    <row r="62" spans="2:3" x14ac:dyDescent="0.35">
      <c r="B62" s="4" t="s">
        <v>122</v>
      </c>
      <c r="C62" t="s">
        <v>134</v>
      </c>
    </row>
    <row r="63" spans="2:3" x14ac:dyDescent="0.35">
      <c r="B63" s="5" t="s">
        <v>58</v>
      </c>
      <c r="C63">
        <v>1</v>
      </c>
    </row>
    <row r="64" spans="2:3" x14ac:dyDescent="0.35">
      <c r="B64" s="5" t="s">
        <v>44</v>
      </c>
      <c r="C64">
        <v>1</v>
      </c>
    </row>
    <row r="65" spans="2:3" x14ac:dyDescent="0.35">
      <c r="B65" s="5" t="s">
        <v>123</v>
      </c>
      <c r="C65">
        <v>2</v>
      </c>
    </row>
    <row r="68" spans="2:3" x14ac:dyDescent="0.35">
      <c r="B68" s="4" t="s">
        <v>3</v>
      </c>
      <c r="C68" t="s">
        <v>23</v>
      </c>
    </row>
    <row r="69" spans="2:3" x14ac:dyDescent="0.35">
      <c r="B69" s="4" t="s">
        <v>14</v>
      </c>
      <c r="C69" t="s">
        <v>133</v>
      </c>
    </row>
    <row r="71" spans="2:3" x14ac:dyDescent="0.35">
      <c r="B71" s="4" t="s">
        <v>122</v>
      </c>
      <c r="C71" t="s">
        <v>134</v>
      </c>
    </row>
    <row r="72" spans="2:3" x14ac:dyDescent="0.35">
      <c r="B72" s="5" t="s">
        <v>123</v>
      </c>
    </row>
    <row r="75" spans="2:3" x14ac:dyDescent="0.35">
      <c r="B75" s="4" t="s">
        <v>3</v>
      </c>
      <c r="C75" t="s">
        <v>22</v>
      </c>
    </row>
    <row r="76" spans="2:3" x14ac:dyDescent="0.35">
      <c r="B76" s="4" t="s">
        <v>14</v>
      </c>
      <c r="C76" t="s">
        <v>133</v>
      </c>
    </row>
    <row r="78" spans="2:3" x14ac:dyDescent="0.35">
      <c r="B78" s="4" t="s">
        <v>122</v>
      </c>
      <c r="C78" t="s">
        <v>134</v>
      </c>
    </row>
    <row r="79" spans="2:3" x14ac:dyDescent="0.35">
      <c r="B79" s="5" t="s">
        <v>62</v>
      </c>
      <c r="C79">
        <v>1</v>
      </c>
    </row>
    <row r="80" spans="2:3" x14ac:dyDescent="0.35">
      <c r="B80" s="5" t="s">
        <v>123</v>
      </c>
      <c r="C80">
        <v>1</v>
      </c>
    </row>
  </sheetData>
  <pageMargins left="0.7" right="0.7" top="0.75" bottom="0.75" header="0.3" footer="0.3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14B92-8C35-49B0-B066-FFF05BA71AB7}">
  <dimension ref="A1:T39"/>
  <sheetViews>
    <sheetView showGridLines="0" zoomScale="96" workbookViewId="0">
      <selection activeCell="L22" sqref="L22"/>
    </sheetView>
  </sheetViews>
  <sheetFormatPr baseColWidth="10" defaultRowHeight="13.5" x14ac:dyDescent="0.25"/>
  <cols>
    <col min="1" max="16384" width="10.90625" style="6"/>
  </cols>
  <sheetData>
    <row r="1" spans="1:20" x14ac:dyDescent="0.25">
      <c r="A1" s="36" t="s">
        <v>129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spans="1:20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</row>
    <row r="3" spans="1:20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</row>
    <row r="4" spans="1:20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ht="13.5" customHeight="1" x14ac:dyDescent="0.25">
      <c r="A5" s="7"/>
      <c r="B5" s="7"/>
      <c r="C5" s="38">
        <f>GETPIVOTDATA("TIPO",TD!$B$3)</f>
        <v>26</v>
      </c>
      <c r="D5" s="39"/>
      <c r="E5" s="39"/>
      <c r="F5" s="40"/>
      <c r="G5" s="7"/>
      <c r="H5" s="7"/>
      <c r="I5" s="38">
        <f>GETPIVOTDATA("ESTADO",TD!$B$30,"ESTADO","Completo")</f>
        <v>15</v>
      </c>
      <c r="J5" s="39"/>
      <c r="K5" s="39"/>
      <c r="L5" s="40"/>
      <c r="M5" s="7"/>
      <c r="N5" s="7"/>
      <c r="O5" s="37"/>
      <c r="P5" s="37"/>
      <c r="Q5" s="37"/>
      <c r="R5" s="37"/>
      <c r="S5" s="7"/>
      <c r="T5" s="7"/>
    </row>
    <row r="6" spans="1:20" ht="13.5" customHeight="1" x14ac:dyDescent="0.25">
      <c r="A6" s="7"/>
      <c r="B6" s="7"/>
      <c r="C6" s="41"/>
      <c r="D6" s="42"/>
      <c r="E6" s="42"/>
      <c r="F6" s="43"/>
      <c r="G6" s="7"/>
      <c r="H6" s="7"/>
      <c r="I6" s="41"/>
      <c r="J6" s="42"/>
      <c r="K6" s="42"/>
      <c r="L6" s="43"/>
      <c r="M6" s="7"/>
      <c r="N6" s="7"/>
      <c r="O6" s="37"/>
      <c r="P6" s="37"/>
      <c r="Q6" s="37"/>
      <c r="R6" s="37"/>
      <c r="S6" s="7"/>
      <c r="T6" s="7"/>
    </row>
    <row r="7" spans="1:20" ht="13.5" customHeight="1" x14ac:dyDescent="0.25">
      <c r="A7" s="7"/>
      <c r="B7" s="7"/>
      <c r="C7" s="41"/>
      <c r="D7" s="42"/>
      <c r="E7" s="42"/>
      <c r="F7" s="43"/>
      <c r="G7" s="7"/>
      <c r="H7" s="7"/>
      <c r="I7" s="41"/>
      <c r="J7" s="42"/>
      <c r="K7" s="42"/>
      <c r="L7" s="43"/>
      <c r="M7" s="7"/>
      <c r="N7" s="7"/>
      <c r="O7" s="37"/>
      <c r="P7" s="37"/>
      <c r="Q7" s="37"/>
      <c r="R7" s="37"/>
      <c r="S7" s="7"/>
      <c r="T7" s="7"/>
    </row>
    <row r="8" spans="1:20" ht="14" x14ac:dyDescent="0.25">
      <c r="A8" s="7"/>
      <c r="B8" s="7"/>
      <c r="C8" s="44" t="s">
        <v>130</v>
      </c>
      <c r="D8" s="45"/>
      <c r="E8" s="45"/>
      <c r="F8" s="46"/>
      <c r="G8" s="7"/>
      <c r="H8" s="7"/>
      <c r="I8" s="44" t="s">
        <v>131</v>
      </c>
      <c r="J8" s="45"/>
      <c r="K8" s="45"/>
      <c r="L8" s="46"/>
      <c r="M8" s="7"/>
      <c r="N8" s="7"/>
      <c r="O8" s="37"/>
      <c r="P8" s="37"/>
      <c r="Q8" s="37"/>
      <c r="R8" s="37"/>
      <c r="S8" s="7"/>
      <c r="T8" s="7"/>
    </row>
    <row r="9" spans="1:20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s="10" customFormat="1" ht="8.5" customHeight="1" x14ac:dyDescent="0.35">
      <c r="A10" s="30" t="s">
        <v>20</v>
      </c>
      <c r="B10" s="31"/>
      <c r="C10" s="32"/>
      <c r="D10" s="9"/>
      <c r="E10" s="30" t="s">
        <v>19</v>
      </c>
      <c r="F10" s="31"/>
      <c r="G10" s="32"/>
      <c r="H10" s="9"/>
      <c r="I10" s="30" t="s">
        <v>21</v>
      </c>
      <c r="J10" s="31"/>
      <c r="K10" s="32"/>
      <c r="L10" s="9"/>
      <c r="M10" s="30" t="s">
        <v>23</v>
      </c>
      <c r="N10" s="31"/>
      <c r="O10" s="32"/>
      <c r="P10" s="9"/>
      <c r="Q10" s="30" t="s">
        <v>22</v>
      </c>
      <c r="R10" s="31"/>
      <c r="S10" s="32"/>
      <c r="T10" s="9"/>
    </row>
    <row r="11" spans="1:20" s="10" customFormat="1" ht="8.5" customHeight="1" x14ac:dyDescent="0.35">
      <c r="A11" s="33"/>
      <c r="B11" s="34"/>
      <c r="C11" s="35"/>
      <c r="D11" s="9"/>
      <c r="E11" s="33"/>
      <c r="F11" s="34"/>
      <c r="G11" s="35"/>
      <c r="H11" s="9"/>
      <c r="I11" s="33"/>
      <c r="J11" s="34"/>
      <c r="K11" s="35"/>
      <c r="L11" s="9"/>
      <c r="M11" s="33"/>
      <c r="N11" s="34"/>
      <c r="O11" s="35"/>
      <c r="P11" s="9"/>
      <c r="Q11" s="33"/>
      <c r="R11" s="34"/>
      <c r="S11" s="35"/>
      <c r="T11" s="9"/>
    </row>
    <row r="13" spans="1:20" s="8" customFormat="1" ht="15" x14ac:dyDescent="0.3">
      <c r="A13" s="21" t="s">
        <v>132</v>
      </c>
      <c r="B13" s="22"/>
      <c r="C13" s="23"/>
      <c r="E13" s="21" t="s">
        <v>132</v>
      </c>
      <c r="F13" s="22"/>
      <c r="G13" s="23"/>
      <c r="I13" s="21" t="s">
        <v>132</v>
      </c>
      <c r="J13" s="22"/>
      <c r="K13" s="23"/>
      <c r="M13" s="21" t="s">
        <v>132</v>
      </c>
      <c r="N13" s="22"/>
      <c r="O13" s="23"/>
      <c r="Q13" s="21" t="s">
        <v>132</v>
      </c>
      <c r="R13" s="22"/>
      <c r="S13" s="23"/>
    </row>
    <row r="14" spans="1:20" x14ac:dyDescent="0.25">
      <c r="A14" s="24">
        <f>GETPIVOTDATA("ENCARGADO",TD!$B$12,"ENCARGADO","Dome")</f>
        <v>15</v>
      </c>
      <c r="B14" s="25"/>
      <c r="C14" s="26"/>
      <c r="D14" s="7"/>
      <c r="E14" s="24">
        <f>GETPIVOTDATA("ENCARGADO",TD!$B$12,"ENCARGADO","Dillan")</f>
        <v>5</v>
      </c>
      <c r="F14" s="25"/>
      <c r="G14" s="26"/>
      <c r="H14" s="7"/>
      <c r="I14" s="24">
        <f>GETPIVOTDATA("ENCARGADO",TD!$B$12,"ENCARGADO","Andrei")</f>
        <v>3</v>
      </c>
      <c r="J14" s="25"/>
      <c r="K14" s="26"/>
      <c r="L14" s="7"/>
      <c r="M14" s="24" t="e">
        <f>GETPIVOTDATA("ENCARGADO",TD!$B$12,"ENCARGADO","Martin")</f>
        <v>#REF!</v>
      </c>
      <c r="N14" s="25"/>
      <c r="O14" s="26"/>
      <c r="P14" s="7"/>
      <c r="Q14" s="24">
        <f>GETPIVOTDATA("ENCARGADO",TD!$B$12,"ENCARGADO","David")</f>
        <v>3</v>
      </c>
      <c r="R14" s="25"/>
      <c r="S14" s="26"/>
    </row>
    <row r="15" spans="1:20" x14ac:dyDescent="0.25">
      <c r="A15" s="27"/>
      <c r="B15" s="28"/>
      <c r="C15" s="29"/>
      <c r="D15" s="7"/>
      <c r="E15" s="27"/>
      <c r="F15" s="28"/>
      <c r="G15" s="29"/>
      <c r="H15" s="7"/>
      <c r="I15" s="27"/>
      <c r="J15" s="28"/>
      <c r="K15" s="29"/>
      <c r="L15" s="7"/>
      <c r="M15" s="27"/>
      <c r="N15" s="28"/>
      <c r="O15" s="29"/>
      <c r="P15" s="7"/>
      <c r="Q15" s="27"/>
      <c r="R15" s="28"/>
      <c r="S15" s="29"/>
    </row>
    <row r="16" spans="1:20" ht="14" x14ac:dyDescent="0.3">
      <c r="A16" s="47" t="s">
        <v>18</v>
      </c>
      <c r="B16" s="48"/>
      <c r="C16" s="49"/>
      <c r="D16" s="7"/>
      <c r="E16" s="47" t="s">
        <v>18</v>
      </c>
      <c r="F16" s="48"/>
      <c r="G16" s="49"/>
      <c r="H16" s="7"/>
      <c r="I16" s="47" t="s">
        <v>18</v>
      </c>
      <c r="J16" s="48"/>
      <c r="K16" s="49"/>
      <c r="L16" s="7"/>
      <c r="M16" s="47" t="s">
        <v>18</v>
      </c>
      <c r="N16" s="48"/>
      <c r="O16" s="49"/>
      <c r="P16" s="7"/>
      <c r="Q16" s="47" t="s">
        <v>18</v>
      </c>
      <c r="R16" s="48"/>
      <c r="S16" s="49"/>
    </row>
    <row r="17" spans="1:19" ht="8.5" customHeight="1" x14ac:dyDescent="0.25">
      <c r="A17" s="50">
        <f>TD!$C$23</f>
        <v>7</v>
      </c>
      <c r="B17" s="51"/>
      <c r="C17" s="52"/>
      <c r="D17" s="7"/>
      <c r="E17" s="50">
        <f>TD!$C$22+TD!$C$25</f>
        <v>5</v>
      </c>
      <c r="F17" s="51"/>
      <c r="G17" s="52"/>
      <c r="H17" s="7"/>
      <c r="I17" s="50"/>
      <c r="J17" s="51"/>
      <c r="K17" s="52"/>
      <c r="L17" s="7"/>
      <c r="M17" s="50">
        <f>TD!$C$24</f>
        <v>4</v>
      </c>
      <c r="N17" s="51"/>
      <c r="O17" s="52"/>
      <c r="P17" s="7"/>
      <c r="Q17" s="50">
        <f>TD!$C$24</f>
        <v>4</v>
      </c>
      <c r="R17" s="51"/>
      <c r="S17" s="52"/>
    </row>
    <row r="18" spans="1:19" ht="6.5" customHeight="1" x14ac:dyDescent="0.25">
      <c r="A18" s="53"/>
      <c r="B18" s="54"/>
      <c r="C18" s="55"/>
      <c r="D18" s="7"/>
      <c r="E18" s="53"/>
      <c r="F18" s="54"/>
      <c r="G18" s="55"/>
      <c r="H18" s="7"/>
      <c r="I18" s="53"/>
      <c r="J18" s="54"/>
      <c r="K18" s="55"/>
      <c r="L18" s="7"/>
      <c r="M18" s="53"/>
      <c r="N18" s="54"/>
      <c r="O18" s="55"/>
      <c r="P18" s="7"/>
      <c r="Q18" s="53"/>
      <c r="R18" s="54"/>
      <c r="S18" s="55"/>
    </row>
    <row r="20" spans="1:19" s="8" customFormat="1" ht="15" x14ac:dyDescent="0.3">
      <c r="A20" s="12" t="s">
        <v>135</v>
      </c>
      <c r="B20" s="13"/>
      <c r="C20" s="14"/>
      <c r="E20" s="12" t="s">
        <v>135</v>
      </c>
      <c r="F20" s="13"/>
      <c r="G20" s="14"/>
      <c r="I20" s="12" t="s">
        <v>135</v>
      </c>
      <c r="J20" s="13"/>
      <c r="K20" s="14"/>
      <c r="M20" s="12" t="s">
        <v>135</v>
      </c>
      <c r="N20" s="13"/>
      <c r="O20" s="14"/>
      <c r="Q20" s="12" t="s">
        <v>135</v>
      </c>
      <c r="R20" s="13"/>
      <c r="S20" s="14"/>
    </row>
    <row r="21" spans="1:19" x14ac:dyDescent="0.25">
      <c r="A21" s="15"/>
      <c r="B21" s="15"/>
      <c r="C21" s="16"/>
      <c r="E21" s="19"/>
      <c r="F21" s="15"/>
      <c r="G21" s="16"/>
      <c r="I21" s="19"/>
      <c r="J21" s="15"/>
      <c r="K21" s="16"/>
      <c r="M21" s="19"/>
      <c r="N21" s="15"/>
      <c r="O21" s="16"/>
      <c r="Q21" s="19"/>
      <c r="R21" s="15"/>
      <c r="S21" s="16"/>
    </row>
    <row r="22" spans="1:19" x14ac:dyDescent="0.25">
      <c r="A22" s="15"/>
      <c r="B22" s="15"/>
      <c r="C22" s="16"/>
      <c r="E22" s="19"/>
      <c r="F22" s="15"/>
      <c r="G22" s="16"/>
      <c r="I22" s="19"/>
      <c r="J22" s="15"/>
      <c r="K22" s="16"/>
      <c r="M22" s="19"/>
      <c r="N22" s="15"/>
      <c r="O22" s="16"/>
      <c r="Q22" s="19"/>
      <c r="R22" s="15"/>
      <c r="S22" s="16"/>
    </row>
    <row r="23" spans="1:19" x14ac:dyDescent="0.25">
      <c r="A23" s="15"/>
      <c r="B23" s="15"/>
      <c r="C23" s="16"/>
      <c r="E23" s="19"/>
      <c r="F23" s="15"/>
      <c r="G23" s="16"/>
      <c r="I23" s="19"/>
      <c r="J23" s="15"/>
      <c r="K23" s="16"/>
      <c r="M23" s="19"/>
      <c r="N23" s="15"/>
      <c r="O23" s="16"/>
      <c r="Q23" s="19"/>
      <c r="R23" s="15"/>
      <c r="S23" s="16"/>
    </row>
    <row r="24" spans="1:19" x14ac:dyDescent="0.25">
      <c r="A24" s="15"/>
      <c r="B24" s="15"/>
      <c r="C24" s="16"/>
      <c r="E24" s="19"/>
      <c r="F24" s="15"/>
      <c r="G24" s="16"/>
      <c r="I24" s="19"/>
      <c r="J24" s="15"/>
      <c r="K24" s="16"/>
      <c r="M24" s="19"/>
      <c r="N24" s="15"/>
      <c r="O24" s="16"/>
      <c r="Q24" s="19"/>
      <c r="R24" s="15"/>
      <c r="S24" s="16"/>
    </row>
    <row r="25" spans="1:19" x14ac:dyDescent="0.25">
      <c r="A25" s="15"/>
      <c r="B25" s="15"/>
      <c r="C25" s="16"/>
      <c r="E25" s="19"/>
      <c r="F25" s="15"/>
      <c r="G25" s="16"/>
      <c r="I25" s="19"/>
      <c r="J25" s="15"/>
      <c r="K25" s="16"/>
      <c r="M25" s="19"/>
      <c r="N25" s="15"/>
      <c r="O25" s="16"/>
      <c r="Q25" s="19"/>
      <c r="R25" s="15"/>
      <c r="S25" s="16"/>
    </row>
    <row r="26" spans="1:19" x14ac:dyDescent="0.25">
      <c r="A26" s="15"/>
      <c r="B26" s="15"/>
      <c r="C26" s="16"/>
      <c r="E26" s="19"/>
      <c r="F26" s="15"/>
      <c r="G26" s="16"/>
      <c r="I26" s="19"/>
      <c r="J26" s="15"/>
      <c r="K26" s="16"/>
      <c r="M26" s="19"/>
      <c r="N26" s="15"/>
      <c r="O26" s="16"/>
      <c r="Q26" s="19"/>
      <c r="R26" s="15"/>
      <c r="S26" s="16"/>
    </row>
    <row r="27" spans="1:19" x14ac:dyDescent="0.25">
      <c r="A27" s="15"/>
      <c r="B27" s="15"/>
      <c r="C27" s="16"/>
      <c r="E27" s="19"/>
      <c r="F27" s="15"/>
      <c r="G27" s="16"/>
      <c r="I27" s="19"/>
      <c r="J27" s="15"/>
      <c r="K27" s="16"/>
      <c r="M27" s="19"/>
      <c r="N27" s="15"/>
      <c r="O27" s="16"/>
      <c r="Q27" s="19"/>
      <c r="R27" s="15"/>
      <c r="S27" s="16"/>
    </row>
    <row r="28" spans="1:19" x14ac:dyDescent="0.25">
      <c r="A28" s="15"/>
      <c r="B28" s="15"/>
      <c r="C28" s="16"/>
      <c r="E28" s="19"/>
      <c r="F28" s="15"/>
      <c r="G28" s="16"/>
      <c r="I28" s="19"/>
      <c r="J28" s="15"/>
      <c r="K28" s="16"/>
      <c r="M28" s="19"/>
      <c r="N28" s="15"/>
      <c r="O28" s="16"/>
      <c r="Q28" s="19"/>
      <c r="R28" s="15"/>
      <c r="S28" s="16"/>
    </row>
    <row r="29" spans="1:19" x14ac:dyDescent="0.25">
      <c r="A29" s="15"/>
      <c r="B29" s="15"/>
      <c r="C29" s="16"/>
      <c r="E29" s="19"/>
      <c r="F29" s="15"/>
      <c r="G29" s="16"/>
      <c r="I29" s="19"/>
      <c r="J29" s="15"/>
      <c r="K29" s="16"/>
      <c r="M29" s="19"/>
      <c r="N29" s="15"/>
      <c r="O29" s="16"/>
      <c r="Q29" s="19"/>
      <c r="R29" s="15"/>
      <c r="S29" s="16"/>
    </row>
    <row r="30" spans="1:19" x14ac:dyDescent="0.25">
      <c r="A30" s="15"/>
      <c r="B30" s="15"/>
      <c r="C30" s="16"/>
      <c r="E30" s="19"/>
      <c r="F30" s="15"/>
      <c r="G30" s="16"/>
      <c r="I30" s="19"/>
      <c r="J30" s="15"/>
      <c r="K30" s="16"/>
      <c r="M30" s="19"/>
      <c r="N30" s="15"/>
      <c r="O30" s="16"/>
      <c r="Q30" s="19"/>
      <c r="R30" s="15"/>
      <c r="S30" s="16"/>
    </row>
    <row r="31" spans="1:19" x14ac:dyDescent="0.25">
      <c r="A31" s="15"/>
      <c r="B31" s="15"/>
      <c r="C31" s="16"/>
      <c r="E31" s="19"/>
      <c r="F31" s="15"/>
      <c r="G31" s="16"/>
      <c r="I31" s="19"/>
      <c r="J31" s="15"/>
      <c r="K31" s="16"/>
      <c r="M31" s="19"/>
      <c r="N31" s="15"/>
      <c r="O31" s="16"/>
      <c r="Q31" s="19"/>
      <c r="R31" s="15"/>
      <c r="S31" s="16"/>
    </row>
    <row r="32" spans="1:19" x14ac:dyDescent="0.25">
      <c r="A32" s="15"/>
      <c r="B32" s="15"/>
      <c r="C32" s="16"/>
      <c r="E32" s="19"/>
      <c r="F32" s="15"/>
      <c r="G32" s="16"/>
      <c r="I32" s="19"/>
      <c r="J32" s="15"/>
      <c r="K32" s="16"/>
      <c r="M32" s="19"/>
      <c r="N32" s="15"/>
      <c r="O32" s="16"/>
      <c r="Q32" s="19"/>
      <c r="R32" s="15"/>
      <c r="S32" s="16"/>
    </row>
    <row r="33" spans="1:19" x14ac:dyDescent="0.25">
      <c r="A33" s="15"/>
      <c r="B33" s="15"/>
      <c r="C33" s="16"/>
      <c r="E33" s="19"/>
      <c r="F33" s="15"/>
      <c r="G33" s="16"/>
      <c r="I33" s="19"/>
      <c r="J33" s="15"/>
      <c r="K33" s="16"/>
      <c r="M33" s="19"/>
      <c r="N33" s="15"/>
      <c r="O33" s="16"/>
      <c r="Q33" s="19"/>
      <c r="R33" s="15"/>
      <c r="S33" s="16"/>
    </row>
    <row r="34" spans="1:19" x14ac:dyDescent="0.25">
      <c r="A34" s="15"/>
      <c r="B34" s="15"/>
      <c r="C34" s="16"/>
      <c r="E34" s="19"/>
      <c r="F34" s="15"/>
      <c r="G34" s="16"/>
      <c r="I34" s="19"/>
      <c r="J34" s="15"/>
      <c r="K34" s="16"/>
      <c r="M34" s="19"/>
      <c r="N34" s="15"/>
      <c r="O34" s="16"/>
      <c r="Q34" s="19"/>
      <c r="R34" s="15"/>
      <c r="S34" s="16"/>
    </row>
    <row r="35" spans="1:19" x14ac:dyDescent="0.25">
      <c r="A35" s="15"/>
      <c r="B35" s="15"/>
      <c r="C35" s="16"/>
      <c r="E35" s="19"/>
      <c r="F35" s="15"/>
      <c r="G35" s="16"/>
      <c r="I35" s="19"/>
      <c r="J35" s="15"/>
      <c r="K35" s="16"/>
      <c r="M35" s="19"/>
      <c r="N35" s="15"/>
      <c r="O35" s="16"/>
      <c r="Q35" s="19"/>
      <c r="R35" s="15"/>
      <c r="S35" s="16"/>
    </row>
    <row r="36" spans="1:19" x14ac:dyDescent="0.25">
      <c r="A36" s="15"/>
      <c r="B36" s="15"/>
      <c r="C36" s="16"/>
      <c r="E36" s="19"/>
      <c r="F36" s="15"/>
      <c r="G36" s="16"/>
      <c r="I36" s="19"/>
      <c r="J36" s="15"/>
      <c r="K36" s="16"/>
      <c r="M36" s="19"/>
      <c r="N36" s="15"/>
      <c r="O36" s="16"/>
      <c r="Q36" s="19"/>
      <c r="R36" s="15"/>
      <c r="S36" s="16"/>
    </row>
    <row r="37" spans="1:19" x14ac:dyDescent="0.25">
      <c r="A37" s="15"/>
      <c r="B37" s="15"/>
      <c r="C37" s="16"/>
      <c r="E37" s="19"/>
      <c r="F37" s="15"/>
      <c r="G37" s="16"/>
      <c r="I37" s="19"/>
      <c r="J37" s="15"/>
      <c r="K37" s="16"/>
      <c r="M37" s="19"/>
      <c r="N37" s="15"/>
      <c r="O37" s="16"/>
      <c r="Q37" s="19"/>
      <c r="R37" s="15"/>
      <c r="S37" s="16"/>
    </row>
    <row r="38" spans="1:19" x14ac:dyDescent="0.25">
      <c r="A38" s="15"/>
      <c r="B38" s="15"/>
      <c r="C38" s="16"/>
      <c r="E38" s="19"/>
      <c r="F38" s="15"/>
      <c r="G38" s="16"/>
      <c r="I38" s="19"/>
      <c r="J38" s="15"/>
      <c r="K38" s="16"/>
      <c r="M38" s="19"/>
      <c r="N38" s="15"/>
      <c r="O38" s="16"/>
      <c r="Q38" s="19"/>
      <c r="R38" s="15"/>
      <c r="S38" s="16"/>
    </row>
    <row r="39" spans="1:19" x14ac:dyDescent="0.25">
      <c r="A39" s="17"/>
      <c r="B39" s="17"/>
      <c r="C39" s="18"/>
      <c r="E39" s="20"/>
      <c r="F39" s="17"/>
      <c r="G39" s="18"/>
      <c r="I39" s="20"/>
      <c r="J39" s="17"/>
      <c r="K39" s="18"/>
      <c r="M39" s="20"/>
      <c r="N39" s="17"/>
      <c r="O39" s="18"/>
      <c r="Q39" s="20"/>
      <c r="R39" s="17"/>
      <c r="S39" s="18"/>
    </row>
  </sheetData>
  <mergeCells count="41">
    <mergeCell ref="M16:O16"/>
    <mergeCell ref="Q16:S16"/>
    <mergeCell ref="I17:K18"/>
    <mergeCell ref="Q17:S18"/>
    <mergeCell ref="M17:O18"/>
    <mergeCell ref="A16:C16"/>
    <mergeCell ref="A17:C18"/>
    <mergeCell ref="E16:G16"/>
    <mergeCell ref="E17:G18"/>
    <mergeCell ref="I16:K16"/>
    <mergeCell ref="A1:T3"/>
    <mergeCell ref="O5:R8"/>
    <mergeCell ref="C5:F7"/>
    <mergeCell ref="C8:F8"/>
    <mergeCell ref="I5:L7"/>
    <mergeCell ref="I8:L8"/>
    <mergeCell ref="A10:C11"/>
    <mergeCell ref="E10:G11"/>
    <mergeCell ref="I10:K11"/>
    <mergeCell ref="M10:O11"/>
    <mergeCell ref="Q10:S11"/>
    <mergeCell ref="A14:C15"/>
    <mergeCell ref="E14:G15"/>
    <mergeCell ref="I14:K15"/>
    <mergeCell ref="M14:O15"/>
    <mergeCell ref="Q14:S15"/>
    <mergeCell ref="A13:C13"/>
    <mergeCell ref="E13:G13"/>
    <mergeCell ref="I13:K13"/>
    <mergeCell ref="M13:O13"/>
    <mergeCell ref="Q13:S13"/>
    <mergeCell ref="A21:C39"/>
    <mergeCell ref="E21:G39"/>
    <mergeCell ref="I21:K39"/>
    <mergeCell ref="M21:O39"/>
    <mergeCell ref="Q21:S39"/>
    <mergeCell ref="A20:C20"/>
    <mergeCell ref="E20:G20"/>
    <mergeCell ref="I20:K20"/>
    <mergeCell ref="M20:O20"/>
    <mergeCell ref="Q20:S20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</vt:lpstr>
      <vt:lpstr>Listas</vt:lpstr>
      <vt:lpstr>TD</vt:lpstr>
      <vt:lpstr>IDM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Doménica Nicole Villalva Dalgo</dc:creator>
  <cp:lastModifiedBy>Doménica Nicole Villalva Dalgo</cp:lastModifiedBy>
  <dcterms:created xsi:type="dcterms:W3CDTF">2025-02-21T19:29:01Z</dcterms:created>
  <dcterms:modified xsi:type="dcterms:W3CDTF">2026-05-18T15:00:40Z</dcterms:modified>
</cp:coreProperties>
</file>