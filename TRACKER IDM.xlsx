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56B8F011-98E1-4575-A117-C4FACBF6463B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BASE!$A$1:$J$1</definedName>
    <definedName name="SegmentaciónDeDatos_TIPO1">#N/A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<sst xmlns="http://schemas.openxmlformats.org/spreadsheetml/2006/main" count="752" uniqueCount="234">
  <si>
    <t>AÑO</t>
  </si>
  <si>
    <t>PROYECTO</t>
  </si>
  <si>
    <t>DESCRIPCIÓN</t>
  </si>
  <si>
    <t>ENCARGADO</t>
  </si>
  <si>
    <t>EQUIPO DE SOPORTE</t>
  </si>
  <si>
    <t>ESTADO</t>
  </si>
  <si>
    <t>% COMPLETADO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</si>
  <si>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</si>
  <si>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</si>
  <si>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</si>
  <si>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</si>
  <si>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</si>
  <si>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</si>
  <si>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</si>
  <si>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</si>
  <si>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</si>
  <si>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</si>
  <si>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</si>
  <si>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</si>
  <si>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</si>
  <si>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</si>
  <si>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</si>
  <si>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</si>
  <si>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</si>
  <si>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</si>
  <si>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</si>
  <si>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</si>
  <si>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</si>
  <si>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</si>
  <si>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</si>
  <si>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</si>
  <si>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</si>
  <si>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</si>
  <si>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</si>
  <si>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</si>
  <si>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OPINA Costa Rica</t>
  </si>
  <si>
    <t>Simulación Programación Académica Salud/Medicina</t>
  </si>
  <si>
    <t>Competencia Precios</t>
  </si>
  <si>
    <t>Empleabilidad</t>
  </si>
  <si>
    <t>Dataverso</t>
  </si>
  <si>
    <t>Investigación de Mercados</t>
  </si>
  <si>
    <t>Tendencias</t>
  </si>
  <si>
    <t>TIPO</t>
  </si>
  <si>
    <t>Etiquetas de fila</t>
  </si>
  <si>
    <t>Total general</t>
  </si>
  <si>
    <t>Cuenta de TIPO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</si>
  <si>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</si>
  <si>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</si>
  <si>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</si>
  <si>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</si>
  <si>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</si>
  <si>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</si>
  <si>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</si>
  <si>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</si>
  <si>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</si>
  <si>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</si>
  <si>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</si>
  <si>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</si>
  <si>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</si>
  <si>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</si>
  <si>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</si>
  <si>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</si>
  <si>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</si>
  <si>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</si>
  <si>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</si>
  <si>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</si>
  <si>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</si>
  <si>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</si>
  <si>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</si>
  <si>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</si>
  <si>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</si>
  <si>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</si>
  <si>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</si>
  <si>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</si>
  <si>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</si>
  <si>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</si>
  <si>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</si>
  <si>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</si>
  <si>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</si>
  <si>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</si>
  <si>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</si>
  <si>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</si>
  <si>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</si>
  <si>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</si>
  <si>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</si>
  <si>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</si>
  <si>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</si>
  <si>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</si>
  <si>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</si>
  <si>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</si>
  <si>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</si>
  <si>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</si>
  <si>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</si>
  <si>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</si>
  <si>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</si>
  <si>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</si>
  <si>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</si>
  <si>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</si>
  <si>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</si>
  <si>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</si>
  <si>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</si>
  <si>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</si>
  <si>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</si>
  <si>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</si>
  <si>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</si>
  <si>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</si>
  <si>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</si>
  <si>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</si>
  <si>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</si>
  <si>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</si>
  <si>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</si>
  <si>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</si>
  <si>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</si>
  <si>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</si>
  <si>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</si>
  <si>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</si>
  <si>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</si>
  <si>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</si>
  <si>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</si>
  <si>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</si>
  <si>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</si>
  <si>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</si>
  <si>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</si>
  <si>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</si>
  <si>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</si>
  <si>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</si>
  <si>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</si>
  <si>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</si>
  <si>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</si>
  <si>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</si>
  <si>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</si>
  <si>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</si>
  <si>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</si>
  <si>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</si>
  <si>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</si>
  <si>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</si>
  <si>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</si>
  <si>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</si>
  <si>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</si>
  <si>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</si>
  <si>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</si>
  <si>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</si>
  <si>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</si>
  <si>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</si>
  <si>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</si>
  <si>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</si>
  <si>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</si>
  <si>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</si>
  <si>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</si>
  <si>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</si>
  <si>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</si>
  <si>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</si>
  <si>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</si>
  <si>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</si>
  <si>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</si>
  <si>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</si>
  <si>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</si>
  <si>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</si>
  <si>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</si>
  <si>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</si>
  <si>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</si>
  <si>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</si>
  <si>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</si>
  <si>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</si>
  <si>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</si>
  <si>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</si>
  <si>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</si>
  <si>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</si>
  <si>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</si>
  <si>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</si>
  <si>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</si>
  <si>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</si>
  <si>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</si>
  <si>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</si>
  <si>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</si>
  <si>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</si>
  <si>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</si>
  <si>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</si>
  <si>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</si>
  <si>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</si>
  <si>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</si>
  <si>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</si>
  <si>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</si>
  <si>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</si>
  <si>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</si>
  <si>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</si>
  <si>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</si>
  <si>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</si>
  <si>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</si>
  <si>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</si>
  <si>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</si>
  <si>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</si>
  <si>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</si>
  <si>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</si>
  <si>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</si>
  <si>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</si>
  <si>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</si>
  <si>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</si>
  <si>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</si>
  <si>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</si>
  <si>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</si>
  <si>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</si>
  <si>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</si>
  <si>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</si>
  <si>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</si>
  <si>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</si>
  <si>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</si>
  <si>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</si>
  <si>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</si>
  <si>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</si>
  <si>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</si>
  <si>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</si>
  <si>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</si>
  <si>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</si>
  <si>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</si>
  <si>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</si>
  <si>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</si>
  <si>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</si>
  <si>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</si>
  <si>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</si>
  <si>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</si>
  <si>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MODELO DE PREDICCION DE SALARIOS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</si>
  <si>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</si>
  <si>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</si>
  <si>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</si>
  <si>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</si>
  <si>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</si>
  <si>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</si>
  <si>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OUTPUT EN BASE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</si>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</sst>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07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07" totalsRowShown="0" headerRowDxfId="0">
  <autoFilter ref="A1:K107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07"/>
  <sheetViews>
    <sheetView tabSelected="1" zoomScale="78" zoomScaleNormal="145" workbookViewId="0"/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59</v>
      </c>
      <c r="C1" s="1" t="s">
        <v>42</v>
      </c>
      <c r="D1" s="1" t="s">
        <v>1</v>
      </c>
      <c r="E1" s="1" t="s">
        <v>60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76</v>
      </c>
    </row>
    <row r="2" spans="1:11" x14ac:dyDescent="0.35">
      <c r="A2">
        <v>2026</v>
      </c>
      <c r="C2" t="s">
        <v>31</v>
      </c>
      <c r="D2" t="s">
        <v>78</v>
      </c>
      <c r="E2" t="s">
        <v>78</v>
      </c>
      <c r="F2" t="s">
        <v>79</v>
      </c>
      <c r="G2" t="s">
        <v>10</v>
      </c>
      <c r="H2" t="s">
        <v>11</v>
      </c>
      <c r="I2" t="s">
        <v>27</v>
      </c>
      <c r="J2" s="3">
        <v>1</v>
      </c>
      <c r="K2" s="11">
        <v>46023</v>
      </c>
    </row>
    <row r="3" spans="1:11" x14ac:dyDescent="0.35">
      <c r="A3">
        <v>2026</v>
      </c>
      <c r="C3" t="s">
        <v>31</v>
      </c>
      <c r="D3" t="s">
        <v>78</v>
      </c>
      <c r="E3" t="s">
        <v>80</v>
      </c>
      <c r="F3" t="s">
        <v>81</v>
      </c>
      <c r="G3" t="s">
        <v>11</v>
      </c>
      <c r="H3" t="s">
        <v>10</v>
      </c>
      <c r="I3" t="s">
        <v>27</v>
      </c>
      <c r="J3" s="3">
        <v>1</v>
      </c>
      <c r="K3" s="11">
        <v>46130</v>
      </c>
    </row>
    <row r="4" spans="1:11" x14ac:dyDescent="0.35">
      <c r="A4">
        <v>2026</v>
      </c>
      <c r="C4" t="s">
        <v>31</v>
      </c>
      <c r="D4" t="s">
        <v>78</v>
      </c>
      <c r="E4" t="s">
        <v>82</v>
      </c>
      <c r="F4" t="s">
        <v>83</v>
      </c>
      <c r="G4" t="s">
        <v>10</v>
      </c>
      <c r="H4" t="s">
        <v>11</v>
      </c>
      <c r="I4" t="s">
        <v>20</v>
      </c>
      <c r="K4" s="11">
        <v>46357</v>
      </c>
    </row>
    <row r="5" spans="1:11" x14ac:dyDescent="0.35">
      <c r="A5">
        <v>2026</v>
      </c>
      <c r="C5" t="s">
        <v>31</v>
      </c>
      <c r="D5" t="s">
        <v>84</v>
      </c>
      <c r="E5" t="s">
        <v>85</v>
      </c>
      <c r="F5" t="s">
        <v>79</v>
      </c>
      <c r="G5" t="s">
        <v>11</v>
      </c>
      <c r="H5" t="s">
        <v>10</v>
      </c>
      <c r="I5" t="s">
        <v>27</v>
      </c>
      <c r="J5" s="3">
        <v>1</v>
      </c>
      <c r="K5" s="11">
        <v>46066</v>
      </c>
    </row>
    <row r="6" spans="1:11" x14ac:dyDescent="0.35">
      <c r="A6">
        <v>2026</v>
      </c>
      <c r="C6" t="s">
        <v>31</v>
      </c>
      <c r="D6" t="s">
        <v>84</v>
      </c>
      <c r="E6" t="s">
        <v>86</v>
      </c>
      <c r="F6" t="s">
        <v>87</v>
      </c>
      <c r="G6" t="s">
        <v>10</v>
      </c>
      <c r="H6" t="s">
        <v>11</v>
      </c>
      <c r="I6" t="s">
        <v>27</v>
      </c>
      <c r="J6" s="3">
        <v>1</v>
      </c>
      <c r="K6" s="11">
        <v>46066</v>
      </c>
    </row>
    <row r="7" spans="1:11" x14ac:dyDescent="0.35">
      <c r="A7">
        <v>2026</v>
      </c>
      <c r="C7" t="s">
        <v>31</v>
      </c>
      <c r="D7" t="s">
        <v>69</v>
      </c>
      <c r="E7" t="s">
        <v>88</v>
      </c>
      <c r="F7" t="s">
        <v>90</v>
      </c>
      <c r="G7" t="s">
        <v>10</v>
      </c>
      <c r="I7" t="s">
        <v>27</v>
      </c>
      <c r="J7" s="3">
        <v>1</v>
      </c>
      <c r="K7" s="11">
        <v>46077</v>
      </c>
    </row>
    <row r="8" spans="1:11" x14ac:dyDescent="0.35">
      <c r="A8">
        <v>2026</v>
      </c>
      <c r="C8" t="s">
        <v>31</v>
      </c>
      <c r="D8" t="s">
        <v>69</v>
      </c>
      <c r="E8" t="s">
        <v>88</v>
      </c>
      <c r="F8" t="s">
        <v>91</v>
      </c>
      <c r="G8" t="s">
        <v>10</v>
      </c>
      <c r="I8" t="s">
        <v>27</v>
      </c>
      <c r="J8" s="3">
        <v>1</v>
      </c>
      <c r="K8" s="11">
        <v>46077</v>
      </c>
    </row>
    <row r="9" spans="1:11" x14ac:dyDescent="0.35">
      <c r="A9">
        <v>2026</v>
      </c>
      <c r="C9" t="s">
        <v>31</v>
      </c>
      <c r="D9" t="s">
        <v>69</v>
      </c>
      <c r="E9" t="s">
        <v>89</v>
      </c>
      <c r="F9" t="s">
        <v>90</v>
      </c>
      <c r="G9" t="s">
        <v>10</v>
      </c>
      <c r="I9" t="s">
        <v>20</v>
      </c>
      <c r="K9" s="12">
        <v>46478</v>
      </c>
    </row>
    <row r="10" spans="1:11" x14ac:dyDescent="0.35">
      <c r="A10">
        <v>2026</v>
      </c>
      <c r="C10" t="s">
        <v>31</v>
      </c>
      <c r="D10" t="s">
        <v>69</v>
      </c>
      <c r="E10" t="s">
        <v>89</v>
      </c>
      <c r="F10" t="s">
        <v>91</v>
      </c>
      <c r="G10" t="s">
        <v>10</v>
      </c>
      <c r="I10" t="s">
        <v>20</v>
      </c>
      <c r="K10" s="12">
        <v>46478</v>
      </c>
    </row>
    <row r="11" spans="1:11" x14ac:dyDescent="0.35">
      <c r="A11">
        <v>2026</v>
      </c>
      <c r="C11" t="s">
        <v>31</v>
      </c>
      <c r="D11" t="s">
        <v>92</v>
      </c>
      <c r="E11" t="s">
        <v>93</v>
      </c>
      <c r="F11" t="s">
        <v>95</v>
      </c>
      <c r="G11" t="s">
        <v>10</v>
      </c>
      <c r="I11" t="s">
        <v>27</v>
      </c>
      <c r="J11" s="3">
        <v>1</v>
      </c>
      <c r="K11" s="12">
        <v>45960</v>
      </c>
    </row>
    <row r="12" spans="1:11" x14ac:dyDescent="0.35">
      <c r="A12">
        <v>2026</v>
      </c>
      <c r="C12" t="s">
        <v>31</v>
      </c>
      <c r="D12" t="s">
        <v>92</v>
      </c>
      <c r="E12" t="s">
        <v>94</v>
      </c>
      <c r="F12" t="s">
        <v>96</v>
      </c>
      <c r="G12" t="s">
        <v>10</v>
      </c>
      <c r="I12" t="s">
        <v>27</v>
      </c>
      <c r="J12" s="3">
        <v>1</v>
      </c>
      <c r="K12" s="11">
        <v>46120</v>
      </c>
    </row>
    <row r="13" spans="1:11" x14ac:dyDescent="0.35">
      <c r="A13">
        <v>2026</v>
      </c>
      <c r="C13" t="s">
        <v>31</v>
      </c>
      <c r="D13" t="s">
        <v>92</v>
      </c>
      <c r="E13" t="s">
        <v>97</v>
      </c>
      <c r="F13" t="s">
        <v>95</v>
      </c>
      <c r="G13" t="s">
        <v>10</v>
      </c>
      <c r="I13" t="s">
        <v>20</v>
      </c>
      <c r="K13" s="12">
        <v>46327</v>
      </c>
    </row>
    <row r="14" spans="1:11" x14ac:dyDescent="0.35">
      <c r="A14">
        <v>2026</v>
      </c>
      <c r="C14" t="s">
        <v>31</v>
      </c>
      <c r="D14" t="s">
        <v>92</v>
      </c>
      <c r="E14" t="s">
        <v>98</v>
      </c>
      <c r="F14" t="s">
        <v>96</v>
      </c>
      <c r="G14" t="s">
        <v>10</v>
      </c>
      <c r="I14" t="s">
        <v>20</v>
      </c>
      <c r="K14" s="12">
        <v>46492</v>
      </c>
    </row>
    <row r="15" spans="1:11" x14ac:dyDescent="0.35">
      <c r="A15">
        <v>2026</v>
      </c>
      <c r="C15" t="s">
        <v>31</v>
      </c>
      <c r="D15" t="s">
        <v>99</v>
      </c>
      <c r="E15" t="s">
        <v>100</v>
      </c>
      <c r="F15" t="s">
        <v>101</v>
      </c>
      <c r="G15" t="s">
        <v>11</v>
      </c>
      <c r="H15" t="s">
        <v>10</v>
      </c>
      <c r="I15" t="s">
        <v>27</v>
      </c>
      <c r="J15" s="3">
        <v>1</v>
      </c>
      <c r="K15" s="11">
        <v>46119</v>
      </c>
    </row>
    <row r="16" spans="1:11" x14ac:dyDescent="0.35">
      <c r="A16">
        <v>2026</v>
      </c>
      <c r="C16" t="s">
        <v>31</v>
      </c>
      <c r="D16" t="s">
        <v>99</v>
      </c>
      <c r="E16" t="s">
        <v>100</v>
      </c>
      <c r="F16" t="s">
        <v>102</v>
      </c>
      <c r="G16" t="s">
        <v>10</v>
      </c>
      <c r="I16" t="s">
        <v>27</v>
      </c>
      <c r="J16" s="3">
        <v>1</v>
      </c>
      <c r="K16" s="11">
        <v>46121</v>
      </c>
    </row>
    <row r="17" spans="1:11" x14ac:dyDescent="0.35">
      <c r="A17">
        <v>2026</v>
      </c>
      <c r="C17" t="s">
        <v>31</v>
      </c>
      <c r="D17" t="s">
        <v>103</v>
      </c>
      <c r="E17" t="s">
        <v>107</v>
      </c>
      <c r="F17" t="s">
        <v>104</v>
      </c>
      <c r="G17" t="s">
        <v>10</v>
      </c>
      <c r="H17" t="s">
        <v>9</v>
      </c>
      <c r="I17" t="s">
        <v>27</v>
      </c>
      <c r="J17" s="3">
        <v>1</v>
      </c>
      <c r="K17" s="11">
        <v>46068</v>
      </c>
    </row>
    <row r="18" spans="1:11" x14ac:dyDescent="0.35">
      <c r="A18">
        <v>2026</v>
      </c>
      <c r="C18" t="s">
        <v>31</v>
      </c>
      <c r="D18" t="s">
        <v>103</v>
      </c>
      <c r="E18" t="s">
        <v>108</v>
      </c>
      <c r="F18" t="s">
        <v>105</v>
      </c>
      <c r="G18" t="s">
        <v>10</v>
      </c>
      <c r="I18" t="s">
        <v>20</v>
      </c>
      <c r="K18" s="11">
        <v>46068</v>
      </c>
    </row>
    <row r="19" spans="1:11" x14ac:dyDescent="0.35">
      <c r="A19">
        <v>2026</v>
      </c>
      <c r="C19" t="s">
        <v>31</v>
      </c>
      <c r="D19" t="s">
        <v>106</v>
      </c>
      <c r="E19" t="s">
        <v>107</v>
      </c>
      <c r="F19" t="s">
        <v>104</v>
      </c>
      <c r="G19" t="s">
        <v>10</v>
      </c>
      <c r="I19" t="s">
        <v>27</v>
      </c>
      <c r="J19" s="3">
        <v>1</v>
      </c>
      <c r="K19" s="11">
        <v>46128</v>
      </c>
    </row>
    <row r="20" spans="1:11" x14ac:dyDescent="0.35">
      <c r="A20">
        <v>2026</v>
      </c>
      <c r="C20" t="s">
        <v>31</v>
      </c>
      <c r="D20" t="s">
        <v>106</v>
      </c>
      <c r="E20" t="s">
        <v>108</v>
      </c>
      <c r="F20" t="s">
        <v>105</v>
      </c>
      <c r="G20" t="s">
        <v>10</v>
      </c>
      <c r="I20" t="s">
        <v>20</v>
      </c>
      <c r="K20" s="11">
        <v>46181</v>
      </c>
    </row>
    <row r="21" spans="1:11" x14ac:dyDescent="0.35">
      <c r="A21">
        <v>2026</v>
      </c>
      <c r="C21" t="s">
        <v>31</v>
      </c>
      <c r="D21" t="s">
        <v>103</v>
      </c>
      <c r="E21" t="s">
        <v>109</v>
      </c>
      <c r="F21" t="s">
        <v>104</v>
      </c>
      <c r="G21" t="s">
        <v>10</v>
      </c>
      <c r="H21" t="s">
        <v>9</v>
      </c>
      <c r="I21" t="s">
        <v>21</v>
      </c>
      <c r="J21" s="3">
        <v>0.1</v>
      </c>
      <c r="K21" s="11">
        <v>46327</v>
      </c>
    </row>
    <row r="22" spans="1:11" x14ac:dyDescent="0.35">
      <c r="A22">
        <v>2026</v>
      </c>
      <c r="C22" t="s">
        <v>31</v>
      </c>
      <c r="D22" t="s">
        <v>103</v>
      </c>
      <c r="E22" t="s">
        <v>110</v>
      </c>
      <c r="F22" t="s">
        <v>105</v>
      </c>
      <c r="G22" t="s">
        <v>10</v>
      </c>
      <c r="I22" t="s">
        <v>21</v>
      </c>
      <c r="J22">
        <v>0.1</v>
      </c>
      <c r="K22" s="11">
        <v>46419</v>
      </c>
    </row>
    <row r="23" spans="1:11" x14ac:dyDescent="0.35">
      <c r="A23">
        <v>2026</v>
      </c>
      <c r="C23" t="s">
        <v>31</v>
      </c>
      <c r="D23" t="s">
        <v>106</v>
      </c>
      <c r="E23" t="s">
        <v>109</v>
      </c>
      <c r="F23" t="s">
        <v>104</v>
      </c>
      <c r="G23" t="s">
        <v>10</v>
      </c>
      <c r="I23" t="s">
        <v>21</v>
      </c>
      <c r="J23">
        <v>0</v>
      </c>
      <c r="K23" s="11">
        <v>46447</v>
      </c>
    </row>
    <row r="24" spans="1:11" x14ac:dyDescent="0.35">
      <c r="A24">
        <v>2026</v>
      </c>
      <c r="C24" t="s">
        <v>31</v>
      </c>
      <c r="D24" t="s">
        <v>106</v>
      </c>
      <c r="E24" t="s">
        <v>110</v>
      </c>
      <c r="F24" t="s">
        <v>105</v>
      </c>
      <c r="G24" t="s">
        <v>10</v>
      </c>
      <c r="I24" t="s">
        <v>21</v>
      </c>
      <c r="J24">
        <v>0</v>
      </c>
      <c r="K24" s="11">
        <v>46478</v>
      </c>
    </row>
    <row r="25" spans="1:11" x14ac:dyDescent="0.35">
      <c r="A25">
        <v>2026</v>
      </c>
      <c r="C25" t="s">
        <v>31</v>
      </c>
      <c r="D25" t="s">
        <v>111</v>
      </c>
      <c r="E25" t="s">
        <v>115</v>
      </c>
      <c r="F25" t="s">
        <v>114</v>
      </c>
      <c r="G25" t="s">
        <v>10</v>
      </c>
      <c r="I25" t="s">
        <v>20</v>
      </c>
      <c r="K25" s="11">
        <v>46204</v>
      </c>
    </row>
    <row r="26" spans="1:11" x14ac:dyDescent="0.35">
      <c r="A26">
        <v>2026</v>
      </c>
      <c r="C26" t="s">
        <v>31</v>
      </c>
      <c r="D26" t="s">
        <v>112</v>
      </c>
      <c r="E26" t="s">
        <v>117</v>
      </c>
      <c r="F26" t="s">
        <v>118</v>
      </c>
      <c r="G26" t="s">
        <v>10</v>
      </c>
      <c r="I26" t="s">
        <v>20</v>
      </c>
      <c r="K26" s="11">
        <v>46235</v>
      </c>
    </row>
    <row r="27" spans="1:11" x14ac:dyDescent="0.35">
      <c r="A27">
        <v>2026</v>
      </c>
      <c r="C27" t="s">
        <v>31</v>
      </c>
      <c r="D27" t="s">
        <v>113</v>
      </c>
      <c r="E27" t="s">
        <v>116</v>
      </c>
      <c r="F27" t="s">
        <v>119</v>
      </c>
      <c r="G27" t="s">
        <v>10</v>
      </c>
      <c r="I27" t="s">
        <v>20</v>
      </c>
      <c r="K27" s="11">
        <v>46174</v>
      </c>
    </row>
    <row r="28" spans="1:11" x14ac:dyDescent="0.35">
      <c r="A28">
        <v>2026</v>
      </c>
      <c r="C28" t="s">
        <v>32</v>
      </c>
      <c r="D28" t="s">
        <v>120</v>
      </c>
      <c r="E28" t="s">
        <v>121</v>
      </c>
      <c r="F28" t="s">
        <v>101</v>
      </c>
      <c r="G28" t="s">
        <v>11</v>
      </c>
      <c r="H28" t="s">
        <v>10</v>
      </c>
      <c r="I28" t="s">
        <v>27</v>
      </c>
      <c r="J28" s="3">
        <v>1</v>
      </c>
      <c r="K28" s="11">
        <v>46099</v>
      </c>
    </row>
    <row r="29" spans="1:11" x14ac:dyDescent="0.35">
      <c r="A29">
        <v>2026</v>
      </c>
      <c r="C29" t="s">
        <v>32</v>
      </c>
      <c r="D29" t="s">
        <v>120</v>
      </c>
      <c r="E29" t="s">
        <v>122</v>
      </c>
      <c r="F29" t="s">
        <v>123</v>
      </c>
      <c r="G29" t="s">
        <v>10</v>
      </c>
      <c r="I29" t="s">
        <v>27</v>
      </c>
      <c r="J29" s="3">
        <v>1</v>
      </c>
      <c r="K29" s="11">
        <v>46102</v>
      </c>
    </row>
    <row r="30" spans="1:11" x14ac:dyDescent="0.35">
      <c r="A30">
        <v>2026</v>
      </c>
      <c r="C30" t="s">
        <v>32</v>
      </c>
      <c r="D30" t="s">
        <v>124</v>
      </c>
      <c r="E30" t="s">
        <v>121</v>
      </c>
      <c r="F30" t="s">
        <v>101</v>
      </c>
      <c r="G30" t="s">
        <v>11</v>
      </c>
      <c r="H30" t="s">
        <v>10</v>
      </c>
      <c r="I30" t="s">
        <v>27</v>
      </c>
      <c r="J30" s="3">
        <v>1</v>
      </c>
      <c r="K30" s="11">
        <v>46094</v>
      </c>
    </row>
    <row r="31" spans="1:11" x14ac:dyDescent="0.35">
      <c r="A31">
        <v>2026</v>
      </c>
      <c r="C31" t="s">
        <v>32</v>
      </c>
      <c r="D31" t="s">
        <v>124</v>
      </c>
      <c r="E31" t="s">
        <v>122</v>
      </c>
      <c r="F31" t="s">
        <v>123</v>
      </c>
      <c r="G31" t="s">
        <v>10</v>
      </c>
      <c r="I31" t="s">
        <v>27</v>
      </c>
      <c r="J31" s="3">
        <v>1</v>
      </c>
      <c r="K31" s="11">
        <v>46096</v>
      </c>
    </row>
    <row r="32" spans="1:11" x14ac:dyDescent="0.35">
      <c r="A32">
        <v>2026</v>
      </c>
      <c r="C32" t="s">
        <v>32</v>
      </c>
      <c r="D32" t="s">
        <v>125</v>
      </c>
      <c r="E32" t="s">
        <v>126</v>
      </c>
      <c r="F32" t="s">
        <v>101</v>
      </c>
      <c r="G32" t="s">
        <v>11</v>
      </c>
      <c r="H32" t="s">
        <v>10</v>
      </c>
      <c r="I32" t="s">
        <v>27</v>
      </c>
      <c r="J32" s="3">
        <v>1</v>
      </c>
      <c r="K32" s="11">
        <v>46121</v>
      </c>
    </row>
    <row r="33" spans="1:11" x14ac:dyDescent="0.35">
      <c r="A33">
        <v>2026</v>
      </c>
      <c r="C33" t="s">
        <v>32</v>
      </c>
      <c r="D33" t="s">
        <v>125</v>
      </c>
      <c r="E33" t="s">
        <v>127</v>
      </c>
      <c r="F33" t="s">
        <v>123</v>
      </c>
      <c r="G33" t="s">
        <v>10</v>
      </c>
      <c r="I33" t="s">
        <v>27</v>
      </c>
      <c r="J33" s="3">
        <v>1</v>
      </c>
      <c r="K33" s="11">
        <v>46121</v>
      </c>
    </row>
    <row r="34" spans="1:11" x14ac:dyDescent="0.35">
      <c r="A34">
        <v>2026</v>
      </c>
      <c r="C34" t="s">
        <v>32</v>
      </c>
      <c r="D34" t="s">
        <v>128</v>
      </c>
      <c r="E34" t="s">
        <v>129</v>
      </c>
      <c r="F34" t="s">
        <v>130</v>
      </c>
      <c r="G34" t="s">
        <v>10</v>
      </c>
      <c r="I34" t="s">
        <v>27</v>
      </c>
      <c r="J34" s="3">
        <v>1</v>
      </c>
      <c r="K34" s="11">
        <v>46106</v>
      </c>
    </row>
    <row r="35" spans="1:11" x14ac:dyDescent="0.35">
      <c r="A35">
        <v>2026</v>
      </c>
      <c r="C35" t="s">
        <v>32</v>
      </c>
      <c r="D35" t="s">
        <v>131</v>
      </c>
      <c r="E35" t="s">
        <v>132</v>
      </c>
      <c r="F35" t="s">
        <v>101</v>
      </c>
      <c r="G35" t="s">
        <v>11</v>
      </c>
      <c r="H35" t="s">
        <v>10</v>
      </c>
      <c r="I35" t="s">
        <v>20</v>
      </c>
      <c r="J35">
        <v>0.2</v>
      </c>
      <c r="K35" s="11">
        <v>46280</v>
      </c>
    </row>
    <row r="36" spans="1:11" x14ac:dyDescent="0.35">
      <c r="A36">
        <v>2026</v>
      </c>
      <c r="C36" t="s">
        <v>32</v>
      </c>
      <c r="D36" t="s">
        <v>131</v>
      </c>
      <c r="E36" t="s">
        <v>133</v>
      </c>
      <c r="F36" t="s">
        <v>123</v>
      </c>
      <c r="G36" t="s">
        <v>10</v>
      </c>
      <c r="I36" t="s">
        <v>20</v>
      </c>
      <c r="K36" s="11">
        <v>46280</v>
      </c>
    </row>
    <row r="37" spans="1:11" x14ac:dyDescent="0.35">
      <c r="A37">
        <v>2026</v>
      </c>
      <c r="C37" t="s">
        <v>30</v>
      </c>
      <c r="D37" t="s">
        <v>134</v>
      </c>
      <c r="E37" t="s">
        <v>135</v>
      </c>
      <c r="F37" t="s">
        <v>101</v>
      </c>
      <c r="G37" t="s">
        <v>11</v>
      </c>
      <c r="I37" t="s">
        <v>27</v>
      </c>
      <c r="J37" s="3">
        <v>1</v>
      </c>
      <c r="K37" s="11">
        <v>46108</v>
      </c>
    </row>
    <row r="38" spans="1:11" x14ac:dyDescent="0.35">
      <c r="A38">
        <v>2026</v>
      </c>
      <c r="C38" t="s">
        <v>30</v>
      </c>
      <c r="D38" t="s">
        <v>134</v>
      </c>
      <c r="E38" t="s">
        <v>136</v>
      </c>
      <c r="F38" t="s">
        <v>137</v>
      </c>
      <c r="G38" t="s">
        <v>10</v>
      </c>
      <c r="I38" t="s">
        <v>27</v>
      </c>
      <c r="J38" s="3">
        <v>1</v>
      </c>
      <c r="K38" s="11">
        <v>46108</v>
      </c>
    </row>
    <row r="39" spans="1:11" x14ac:dyDescent="0.35">
      <c r="A39">
        <v>2026</v>
      </c>
      <c r="C39" t="s">
        <v>30</v>
      </c>
      <c r="D39" t="s">
        <v>138</v>
      </c>
      <c r="E39" t="s">
        <v>139</v>
      </c>
      <c r="F39" t="s">
        <v>140</v>
      </c>
      <c r="G39" t="s">
        <v>10</v>
      </c>
      <c r="I39" t="s">
        <v>27</v>
      </c>
      <c r="J39" s="3">
        <v>1</v>
      </c>
      <c r="K39" s="11">
        <v>46073</v>
      </c>
    </row>
    <row r="40" spans="1:11" x14ac:dyDescent="0.35">
      <c r="A40">
        <v>2026</v>
      </c>
      <c r="C40" t="s">
        <v>32</v>
      </c>
      <c r="D40" t="s">
        <v>141</v>
      </c>
      <c r="E40" t="s">
        <v>142</v>
      </c>
      <c r="F40" t="s">
        <v>144</v>
      </c>
      <c r="G40" t="s">
        <v>11</v>
      </c>
      <c r="H40" t="s">
        <v>10</v>
      </c>
      <c r="I40" t="s">
        <v>20</v>
      </c>
      <c r="J40">
        <v>0.5</v>
      </c>
      <c r="K40" s="11">
        <v>46235</v>
      </c>
    </row>
    <row r="41" spans="1:11" x14ac:dyDescent="0.35">
      <c r="A41">
        <v>2026</v>
      </c>
      <c r="C41" t="s">
        <v>32</v>
      </c>
      <c r="D41" t="s">
        <v>141</v>
      </c>
      <c r="E41" t="s">
        <v>143</v>
      </c>
      <c r="F41" t="s">
        <v>144</v>
      </c>
      <c r="G41" t="s">
        <v>10</v>
      </c>
      <c r="I41" t="s">
        <v>20</v>
      </c>
      <c r="K41" s="11">
        <v>46205</v>
      </c>
    </row>
    <row r="42" spans="1:11" x14ac:dyDescent="0.35">
      <c r="A42">
        <v>2026</v>
      </c>
      <c r="C42" t="s">
        <v>32</v>
      </c>
      <c r="D42" t="s">
        <v>145</v>
      </c>
      <c r="E42" t="s">
        <v>146</v>
      </c>
      <c r="F42" t="s">
        <v>147</v>
      </c>
      <c r="G42" t="s">
        <v>10</v>
      </c>
      <c r="H42" t="s">
        <v>11</v>
      </c>
      <c r="I42" t="s">
        <v>21</v>
      </c>
      <c r="K42" s="11">
        <v>46235</v>
      </c>
    </row>
    <row r="43" spans="1:11" x14ac:dyDescent="0.35">
      <c r="A43">
        <v>2026</v>
      </c>
      <c r="C43" t="s">
        <v>30</v>
      </c>
      <c r="D43" t="s">
        <v>148</v>
      </c>
      <c r="E43" t="s">
        <v>149</v>
      </c>
      <c r="F43" t="s">
        <v>123</v>
      </c>
      <c r="G43" t="s">
        <v>10</v>
      </c>
      <c r="H43" t="s">
        <v>9</v>
      </c>
      <c r="I43" t="s">
        <v>27</v>
      </c>
      <c r="J43" s="3">
        <v>1</v>
      </c>
      <c r="K43" s="11">
        <v>46140</v>
      </c>
    </row>
    <row r="44" spans="1:11" x14ac:dyDescent="0.35">
      <c r="A44">
        <v>2026</v>
      </c>
      <c r="C44" t="s">
        <v>30</v>
      </c>
      <c r="D44" t="s">
        <v>150</v>
      </c>
      <c r="E44" t="s">
        <v>151</v>
      </c>
      <c r="F44" t="s">
        <v>101</v>
      </c>
      <c r="G44" t="s">
        <v>11</v>
      </c>
      <c r="H44" t="s">
        <v>10</v>
      </c>
      <c r="I44" t="s">
        <v>27</v>
      </c>
      <c r="J44">
        <v>1</v>
      </c>
      <c r="K44" s="11">
        <v>46157</v>
      </c>
    </row>
    <row r="45" spans="1:11" x14ac:dyDescent="0.35">
      <c r="A45">
        <v>2026</v>
      </c>
      <c r="C45" t="s">
        <v>30</v>
      </c>
      <c r="D45" t="s">
        <v>150</v>
      </c>
      <c r="E45" t="s">
        <v>152</v>
      </c>
      <c r="F45" t="s">
        <v>153</v>
      </c>
      <c r="G45" t="s">
        <v>10</v>
      </c>
      <c r="I45" t="s">
        <v>27</v>
      </c>
      <c r="J45">
        <v>1</v>
      </c>
      <c r="K45" s="11">
        <v>46192</v>
      </c>
    </row>
    <row r="46" spans="1:11" x14ac:dyDescent="0.35">
      <c r="A46">
        <v>2026</v>
      </c>
      <c r="C46" t="s">
        <v>30</v>
      </c>
      <c r="D46" t="s">
        <v>154</v>
      </c>
      <c r="E46" t="s">
        <v>155</v>
      </c>
      <c r="F46" t="s">
        <v>156</v>
      </c>
      <c r="G46" t="s">
        <v>9</v>
      </c>
      <c r="I46" t="s">
        <v>27</v>
      </c>
      <c r="J46" s="3">
        <v>1</v>
      </c>
      <c r="K46" s="11">
        <v>46156</v>
      </c>
    </row>
    <row r="47" spans="1:11" x14ac:dyDescent="0.35">
      <c r="A47">
        <v>2026</v>
      </c>
      <c r="C47" t="s">
        <v>30</v>
      </c>
      <c r="D47" t="s">
        <v>157</v>
      </c>
      <c r="E47" t="s">
        <v>158</v>
      </c>
      <c r="F47" t="s">
        <v>159</v>
      </c>
      <c r="G47" t="s">
        <v>10</v>
      </c>
      <c r="I47" t="s">
        <v>27</v>
      </c>
      <c r="K47" s="11">
        <v>46161</v>
      </c>
    </row>
    <row r="48" spans="1:11" x14ac:dyDescent="0.35">
      <c r="A48">
        <v>2026</v>
      </c>
      <c r="C48" t="s">
        <v>32</v>
      </c>
      <c r="D48" t="s">
        <v>160</v>
      </c>
      <c r="E48" t="s">
        <v>161</v>
      </c>
      <c r="F48" t="s">
        <v>162</v>
      </c>
      <c r="G48" t="s">
        <v>10</v>
      </c>
      <c r="H48" t="s">
        <v>9</v>
      </c>
      <c r="I48" t="s">
        <v>27</v>
      </c>
      <c r="J48">
        <v>1</v>
      </c>
      <c r="K48" s="11">
        <v>46177</v>
      </c>
    </row>
    <row r="49" spans="1:11" x14ac:dyDescent="0.35">
      <c r="A49">
        <v>2026</v>
      </c>
      <c r="C49" t="s">
        <v>30</v>
      </c>
      <c r="D49" t="s">
        <v>163</v>
      </c>
      <c r="E49" t="s">
        <v>164</v>
      </c>
      <c r="F49" t="s">
        <v>165</v>
      </c>
      <c r="G49" t="s">
        <v>9</v>
      </c>
      <c r="H49" t="s">
        <v>10</v>
      </c>
      <c r="I49" t="s">
        <v>27</v>
      </c>
      <c r="J49" s="3">
        <v>1</v>
      </c>
      <c r="K49" s="11">
        <v>46154</v>
      </c>
    </row>
    <row r="50" spans="1:11" x14ac:dyDescent="0.35">
      <c r="A50">
        <v>2026</v>
      </c>
      <c r="C50" t="s">
        <v>30</v>
      </c>
      <c r="D50" t="s">
        <v>166</v>
      </c>
      <c r="E50" t="s">
        <v>167</v>
      </c>
      <c r="F50" t="s">
        <v>168</v>
      </c>
      <c r="G50" t="s">
        <v>9</v>
      </c>
      <c r="H50" t="s">
        <v>10</v>
      </c>
      <c r="I50" t="s">
        <v>27</v>
      </c>
      <c r="J50">
        <v>1</v>
      </c>
      <c r="K50" s="11">
        <v>46161</v>
      </c>
    </row>
    <row r="51" spans="1:11" x14ac:dyDescent="0.35">
      <c r="A51">
        <v>2026</v>
      </c>
      <c r="C51" t="s">
        <v>32</v>
      </c>
      <c r="D51" t="s">
        <v>66</v>
      </c>
      <c r="E51" t="s">
        <v>169</v>
      </c>
      <c r="F51" t="s">
        <v>170</v>
      </c>
      <c r="G51" t="s">
        <v>10</v>
      </c>
      <c r="I51" t="s">
        <v>27</v>
      </c>
      <c r="J51" s="3">
        <v>1</v>
      </c>
      <c r="K51" s="11">
        <v>46174</v>
      </c>
    </row>
    <row r="52" spans="1:11" x14ac:dyDescent="0.35">
      <c r="A52">
        <v>2026</v>
      </c>
      <c r="C52" t="s">
        <v>32</v>
      </c>
      <c r="D52" t="s">
        <v>66</v>
      </c>
      <c r="E52" t="s">
        <v>121</v>
      </c>
      <c r="F52" t="s">
        <v>101</v>
      </c>
      <c r="G52" t="s">
        <v>25</v>
      </c>
      <c r="H52" t="s">
        <v>11</v>
      </c>
      <c r="I52" t="s">
        <v>20</v>
      </c>
      <c r="J52">
        <v>0.6</v>
      </c>
      <c r="K52" s="11">
        <v>46174</v>
      </c>
    </row>
    <row r="53" spans="1:11" x14ac:dyDescent="0.35">
      <c r="A53">
        <v>2026</v>
      </c>
      <c r="C53" t="s">
        <v>32</v>
      </c>
      <c r="D53" t="s">
        <v>66</v>
      </c>
      <c r="E53" t="s">
        <v>171</v>
      </c>
      <c r="F53" t="s">
        <v>177</v>
      </c>
      <c r="G53" t="s">
        <v>25</v>
      </c>
      <c r="H53" t="s">
        <v>10</v>
      </c>
      <c r="I53" t="s">
        <v>20</v>
      </c>
      <c r="J53">
        <v>0.2</v>
      </c>
      <c r="K53" s="11">
        <v>46174</v>
      </c>
    </row>
    <row r="54" spans="1:11" x14ac:dyDescent="0.35">
      <c r="A54">
        <v>2026</v>
      </c>
      <c r="C54" t="s">
        <v>32</v>
      </c>
      <c r="D54" t="s">
        <v>66</v>
      </c>
      <c r="E54" t="s">
        <v>172</v>
      </c>
      <c r="F54" t="s">
        <v>173</v>
      </c>
      <c r="G54" t="s">
        <v>25</v>
      </c>
      <c r="H54" t="s">
        <v>10</v>
      </c>
      <c r="I54" t="s">
        <v>20</v>
      </c>
      <c r="J54">
        <v>0.7</v>
      </c>
      <c r="K54" s="11">
        <v>46174</v>
      </c>
    </row>
    <row r="55" spans="1:11" x14ac:dyDescent="0.35">
      <c r="A55">
        <v>2026</v>
      </c>
      <c r="C55" t="s">
        <v>32</v>
      </c>
      <c r="D55" t="s">
        <v>66</v>
      </c>
      <c r="E55" t="s">
        <v>175</v>
      </c>
      <c r="F55" t="s">
        <v>178</v>
      </c>
      <c r="G55" t="s">
        <v>10</v>
      </c>
      <c r="I55" t="s">
        <v>20</v>
      </c>
      <c r="K55" s="11">
        <v>46174</v>
      </c>
    </row>
    <row r="56" spans="1:11" x14ac:dyDescent="0.35">
      <c r="A56">
        <v>2026</v>
      </c>
      <c r="C56" t="s">
        <v>32</v>
      </c>
      <c r="D56" t="s">
        <v>66</v>
      </c>
      <c r="E56" t="s">
        <v>176</v>
      </c>
      <c r="F56" t="s">
        <v>179</v>
      </c>
      <c r="G56" t="s">
        <v>10</v>
      </c>
      <c r="I56" t="s">
        <v>20</v>
      </c>
      <c r="K56" s="11">
        <v>46174</v>
      </c>
    </row>
    <row r="57" spans="1:11" x14ac:dyDescent="0.35">
      <c r="A57">
        <v>2026</v>
      </c>
      <c r="C57" t="s">
        <v>30</v>
      </c>
      <c r="D57" t="s">
        <v>180</v>
      </c>
      <c r="E57" t="s">
        <v>181</v>
      </c>
      <c r="F57" t="s">
        <v>182</v>
      </c>
      <c r="G57" t="s">
        <v>9</v>
      </c>
      <c r="H57" t="s">
        <v>10</v>
      </c>
      <c r="I57" t="s">
        <v>27</v>
      </c>
      <c r="J57">
        <v>1</v>
      </c>
      <c r="K57" s="11">
        <v>46170</v>
      </c>
    </row>
    <row r="58" spans="1:11" x14ac:dyDescent="0.35">
      <c r="A58">
        <v>2026</v>
      </c>
      <c r="C58" t="s">
        <v>30</v>
      </c>
      <c r="D58" t="s">
        <v>180</v>
      </c>
      <c r="E58" t="s">
        <v>183</v>
      </c>
      <c r="F58" t="s">
        <v>184</v>
      </c>
      <c r="G58" t="s">
        <v>10</v>
      </c>
      <c r="H58" t="s">
        <v>15</v>
      </c>
      <c r="I58" t="s">
        <v>27</v>
      </c>
      <c r="J58" s="3">
        <v>1</v>
      </c>
      <c r="K58" s="11">
        <v>46170</v>
      </c>
    </row>
    <row r="59" spans="1:11" x14ac:dyDescent="0.35">
      <c r="A59">
        <v>2026</v>
      </c>
      <c r="C59" t="s">
        <v>31</v>
      </c>
      <c r="D59" t="s">
        <v>185</v>
      </c>
      <c r="E59" t="s">
        <v>186</v>
      </c>
      <c r="F59" t="s">
        <v>187</v>
      </c>
      <c r="G59" t="s">
        <v>10</v>
      </c>
      <c r="I59" t="s">
        <v>20</v>
      </c>
      <c r="K59" s="11">
        <v>46192</v>
      </c>
    </row>
    <row r="60" spans="1:11" x14ac:dyDescent="0.35">
      <c r="A60">
        <v>2026</v>
      </c>
      <c r="C60" t="s">
        <v>77</v>
      </c>
      <c r="D60" t="s">
        <v>188</v>
      </c>
      <c r="E60" t="s">
        <v>189</v>
      </c>
      <c r="F60" t="s">
        <v>174</v>
      </c>
      <c r="G60" t="s">
        <v>9</v>
      </c>
      <c r="I60" t="s">
        <v>27</v>
      </c>
      <c r="J60" s="3">
        <v>1</v>
      </c>
      <c r="K60" s="11">
        <v>46029</v>
      </c>
    </row>
    <row r="61" spans="1:11" x14ac:dyDescent="0.35">
      <c r="A61">
        <v>2026</v>
      </c>
      <c r="C61" t="s">
        <v>77</v>
      </c>
      <c r="D61" t="s">
        <v>188</v>
      </c>
      <c r="E61" t="s">
        <v>190</v>
      </c>
      <c r="F61" t="s">
        <v>174</v>
      </c>
      <c r="G61" t="s">
        <v>9</v>
      </c>
      <c r="I61" t="s">
        <v>27</v>
      </c>
      <c r="J61" s="3">
        <v>1</v>
      </c>
      <c r="K61" s="11">
        <v>46031</v>
      </c>
    </row>
    <row r="62" spans="1:11" x14ac:dyDescent="0.35">
      <c r="A62">
        <v>2026</v>
      </c>
      <c r="C62" t="s">
        <v>77</v>
      </c>
      <c r="D62" t="s">
        <v>188</v>
      </c>
      <c r="E62" t="s">
        <v>217</v>
      </c>
      <c r="F62" t="s">
        <v>174</v>
      </c>
      <c r="G62" t="s">
        <v>9</v>
      </c>
      <c r="I62" t="s">
        <v>27</v>
      </c>
      <c r="J62" s="3">
        <v>1</v>
      </c>
      <c r="K62" s="11">
        <v>46034</v>
      </c>
    </row>
    <row r="63" spans="1:11" x14ac:dyDescent="0.35">
      <c r="A63">
        <v>2026</v>
      </c>
      <c r="C63" t="s">
        <v>77</v>
      </c>
      <c r="D63" t="s">
        <v>188</v>
      </c>
      <c r="E63" t="s">
        <v>191</v>
      </c>
      <c r="F63" t="s">
        <v>174</v>
      </c>
      <c r="G63" t="s">
        <v>9</v>
      </c>
      <c r="I63" t="s">
        <v>27</v>
      </c>
      <c r="J63" s="3">
        <v>1</v>
      </c>
      <c r="K63" s="11">
        <v>46034</v>
      </c>
    </row>
    <row r="64" spans="1:11" x14ac:dyDescent="0.35">
      <c r="A64">
        <v>2026</v>
      </c>
      <c r="C64" t="s">
        <v>77</v>
      </c>
      <c r="D64" t="s">
        <v>188</v>
      </c>
      <c r="E64" t="s">
        <v>218</v>
      </c>
      <c r="F64" t="s">
        <v>174</v>
      </c>
      <c r="G64" t="s">
        <v>9</v>
      </c>
      <c r="I64" t="s">
        <v>27</v>
      </c>
      <c r="J64" s="3">
        <v>1</v>
      </c>
      <c r="K64" s="11">
        <v>46038</v>
      </c>
    </row>
    <row r="65" spans="1:11" x14ac:dyDescent="0.35">
      <c r="A65">
        <v>2026</v>
      </c>
      <c r="C65" t="s">
        <v>77</v>
      </c>
      <c r="D65" t="s">
        <v>188</v>
      </c>
      <c r="E65" t="s">
        <v>192</v>
      </c>
      <c r="F65" t="s">
        <v>174</v>
      </c>
      <c r="G65" t="s">
        <v>9</v>
      </c>
      <c r="I65" t="s">
        <v>27</v>
      </c>
      <c r="J65" s="3">
        <v>1</v>
      </c>
      <c r="K65" s="11">
        <v>46049</v>
      </c>
    </row>
    <row r="66" spans="1:11" x14ac:dyDescent="0.35">
      <c r="A66">
        <v>2026</v>
      </c>
      <c r="C66" t="s">
        <v>77</v>
      </c>
      <c r="D66" t="s">
        <v>188</v>
      </c>
      <c r="E66" t="s">
        <v>193</v>
      </c>
      <c r="F66" t="s">
        <v>174</v>
      </c>
      <c r="G66" t="s">
        <v>9</v>
      </c>
      <c r="I66" t="s">
        <v>27</v>
      </c>
      <c r="J66" s="3">
        <v>1</v>
      </c>
      <c r="K66" s="11">
        <v>46056</v>
      </c>
    </row>
    <row r="67" spans="1:11" x14ac:dyDescent="0.35">
      <c r="A67">
        <v>2026</v>
      </c>
      <c r="C67" t="s">
        <v>77</v>
      </c>
      <c r="D67" t="s">
        <v>188</v>
      </c>
      <c r="E67" t="s">
        <v>194</v>
      </c>
      <c r="F67" t="s">
        <v>174</v>
      </c>
      <c r="G67" t="s">
        <v>9</v>
      </c>
      <c r="I67" t="s">
        <v>27</v>
      </c>
      <c r="J67" s="3">
        <v>1</v>
      </c>
      <c r="K67" s="11">
        <v>46059</v>
      </c>
    </row>
    <row r="68" spans="1:11" x14ac:dyDescent="0.35">
      <c r="A68">
        <v>2026</v>
      </c>
      <c r="C68" t="s">
        <v>77</v>
      </c>
      <c r="D68" t="s">
        <v>188</v>
      </c>
      <c r="E68" t="s">
        <v>195</v>
      </c>
      <c r="F68" t="s">
        <v>174</v>
      </c>
      <c r="G68" t="s">
        <v>9</v>
      </c>
      <c r="I68" t="s">
        <v>27</v>
      </c>
      <c r="J68" s="3">
        <v>1</v>
      </c>
      <c r="K68" s="11">
        <v>46058</v>
      </c>
    </row>
    <row r="69" spans="1:11" x14ac:dyDescent="0.35">
      <c r="A69">
        <v>2026</v>
      </c>
      <c r="C69" t="s">
        <v>77</v>
      </c>
      <c r="D69" t="s">
        <v>188</v>
      </c>
      <c r="E69" t="s">
        <v>196</v>
      </c>
      <c r="F69" t="s">
        <v>174</v>
      </c>
      <c r="G69" t="s">
        <v>9</v>
      </c>
      <c r="I69" t="s">
        <v>27</v>
      </c>
      <c r="J69" s="3">
        <v>1</v>
      </c>
      <c r="K69" s="11">
        <v>46058</v>
      </c>
    </row>
    <row r="70" spans="1:11" x14ac:dyDescent="0.35">
      <c r="A70">
        <v>2026</v>
      </c>
      <c r="C70" t="s">
        <v>77</v>
      </c>
      <c r="D70" t="s">
        <v>188</v>
      </c>
      <c r="E70" t="s">
        <v>197</v>
      </c>
      <c r="F70" t="s">
        <v>174</v>
      </c>
      <c r="G70" t="s">
        <v>9</v>
      </c>
      <c r="I70" t="s">
        <v>27</v>
      </c>
      <c r="J70" s="3">
        <v>1</v>
      </c>
      <c r="K70" s="11">
        <v>46058</v>
      </c>
    </row>
    <row r="71" spans="1:11" x14ac:dyDescent="0.35">
      <c r="A71">
        <v>2026</v>
      </c>
      <c r="C71" t="s">
        <v>77</v>
      </c>
      <c r="D71" t="s">
        <v>188</v>
      </c>
      <c r="E71" t="s">
        <v>198</v>
      </c>
      <c r="F71" t="s">
        <v>174</v>
      </c>
      <c r="G71" t="s">
        <v>9</v>
      </c>
      <c r="I71" t="s">
        <v>27</v>
      </c>
      <c r="J71" s="3">
        <v>1</v>
      </c>
      <c r="K71" s="11">
        <v>46058</v>
      </c>
    </row>
    <row r="72" spans="1:11" x14ac:dyDescent="0.35">
      <c r="A72">
        <v>2026</v>
      </c>
      <c r="C72" t="s">
        <v>77</v>
      </c>
      <c r="D72" t="s">
        <v>188</v>
      </c>
      <c r="E72" t="s">
        <v>199</v>
      </c>
      <c r="F72" t="s">
        <v>174</v>
      </c>
      <c r="G72" t="s">
        <v>9</v>
      </c>
      <c r="I72" t="s">
        <v>27</v>
      </c>
      <c r="J72" s="3">
        <v>1</v>
      </c>
      <c r="K72" s="11">
        <v>46059</v>
      </c>
    </row>
    <row r="73" spans="1:11" x14ac:dyDescent="0.35">
      <c r="A73">
        <v>2026</v>
      </c>
      <c r="C73" t="s">
        <v>77</v>
      </c>
      <c r="D73" t="s">
        <v>188</v>
      </c>
      <c r="E73" t="s">
        <v>200</v>
      </c>
      <c r="F73" t="s">
        <v>174</v>
      </c>
      <c r="G73" t="s">
        <v>9</v>
      </c>
      <c r="I73" t="s">
        <v>27</v>
      </c>
      <c r="J73" s="3">
        <v>1</v>
      </c>
      <c r="K73" s="11">
        <v>46059</v>
      </c>
    </row>
    <row r="74" spans="1:11" x14ac:dyDescent="0.35">
      <c r="A74">
        <v>2026</v>
      </c>
      <c r="C74" t="s">
        <v>77</v>
      </c>
      <c r="D74" t="s">
        <v>188</v>
      </c>
      <c r="E74" t="s">
        <v>201</v>
      </c>
      <c r="F74" t="s">
        <v>174</v>
      </c>
      <c r="G74" t="s">
        <v>9</v>
      </c>
      <c r="I74" t="s">
        <v>27</v>
      </c>
      <c r="J74" s="3">
        <v>1</v>
      </c>
      <c r="K74" s="11">
        <v>46079</v>
      </c>
    </row>
    <row r="75" spans="1:11" x14ac:dyDescent="0.35">
      <c r="A75">
        <v>2026</v>
      </c>
      <c r="C75" t="s">
        <v>77</v>
      </c>
      <c r="D75" t="s">
        <v>188</v>
      </c>
      <c r="E75" t="s">
        <v>202</v>
      </c>
      <c r="F75" t="s">
        <v>174</v>
      </c>
      <c r="G75" t="s">
        <v>9</v>
      </c>
      <c r="I75" t="s">
        <v>27</v>
      </c>
      <c r="J75" s="3">
        <v>1</v>
      </c>
      <c r="K75" s="11">
        <v>46082</v>
      </c>
    </row>
    <row r="76" spans="1:11" x14ac:dyDescent="0.35">
      <c r="A76">
        <v>2026</v>
      </c>
      <c r="C76" t="s">
        <v>77</v>
      </c>
      <c r="D76" t="s">
        <v>188</v>
      </c>
      <c r="E76" t="s">
        <v>203</v>
      </c>
      <c r="F76" t="s">
        <v>174</v>
      </c>
      <c r="G76" t="s">
        <v>9</v>
      </c>
      <c r="I76" t="s">
        <v>27</v>
      </c>
      <c r="J76" s="3">
        <v>1</v>
      </c>
      <c r="K76" s="11">
        <v>46041</v>
      </c>
    </row>
    <row r="77" spans="1:11" x14ac:dyDescent="0.35">
      <c r="A77">
        <v>2026</v>
      </c>
      <c r="C77" t="s">
        <v>77</v>
      </c>
      <c r="D77" t="s">
        <v>188</v>
      </c>
      <c r="E77" t="s">
        <v>204</v>
      </c>
      <c r="F77" t="s">
        <v>174</v>
      </c>
      <c r="G77" t="s">
        <v>9</v>
      </c>
      <c r="I77" t="s">
        <v>27</v>
      </c>
      <c r="J77" s="3">
        <v>1</v>
      </c>
      <c r="K77" s="11">
        <v>46041</v>
      </c>
    </row>
    <row r="78" spans="1:11" x14ac:dyDescent="0.35">
      <c r="A78">
        <v>2026</v>
      </c>
      <c r="C78" t="s">
        <v>77</v>
      </c>
      <c r="D78" t="s">
        <v>188</v>
      </c>
      <c r="E78" t="s">
        <v>205</v>
      </c>
      <c r="F78" t="s">
        <v>174</v>
      </c>
      <c r="G78" t="s">
        <v>9</v>
      </c>
      <c r="I78" t="s">
        <v>27</v>
      </c>
      <c r="J78" s="3">
        <v>1</v>
      </c>
      <c r="K78" s="11">
        <v>46044</v>
      </c>
    </row>
    <row r="79" spans="1:11" x14ac:dyDescent="0.35">
      <c r="A79">
        <v>2026</v>
      </c>
      <c r="C79" t="s">
        <v>77</v>
      </c>
      <c r="D79" t="s">
        <v>188</v>
      </c>
      <c r="E79" t="s">
        <v>206</v>
      </c>
      <c r="F79" t="s">
        <v>174</v>
      </c>
      <c r="G79" t="s">
        <v>9</v>
      </c>
      <c r="I79" t="s">
        <v>27</v>
      </c>
      <c r="J79" s="3">
        <v>1</v>
      </c>
      <c r="K79" s="11">
        <v>46048</v>
      </c>
    </row>
    <row r="80" spans="1:11" x14ac:dyDescent="0.35">
      <c r="A80">
        <v>2026</v>
      </c>
      <c r="C80" t="s">
        <v>77</v>
      </c>
      <c r="D80" t="s">
        <v>188</v>
      </c>
      <c r="E80" t="s">
        <v>207</v>
      </c>
      <c r="F80" t="s">
        <v>174</v>
      </c>
      <c r="G80" t="s">
        <v>9</v>
      </c>
      <c r="I80" t="s">
        <v>27</v>
      </c>
      <c r="J80" s="3">
        <v>1</v>
      </c>
      <c r="K80" s="11">
        <v>46048</v>
      </c>
    </row>
    <row r="81" spans="1:11" x14ac:dyDescent="0.35">
      <c r="A81">
        <v>2026</v>
      </c>
      <c r="C81" t="s">
        <v>77</v>
      </c>
      <c r="D81" t="s">
        <v>188</v>
      </c>
      <c r="E81" t="s">
        <v>208</v>
      </c>
      <c r="F81" t="s">
        <v>174</v>
      </c>
      <c r="G81" t="s">
        <v>9</v>
      </c>
      <c r="I81" t="s">
        <v>27</v>
      </c>
      <c r="J81" s="3">
        <v>1</v>
      </c>
      <c r="K81" s="11">
        <v>46062</v>
      </c>
    </row>
    <row r="82" spans="1:11" x14ac:dyDescent="0.35">
      <c r="A82">
        <v>2026</v>
      </c>
      <c r="C82" t="s">
        <v>77</v>
      </c>
      <c r="D82" t="s">
        <v>188</v>
      </c>
      <c r="E82" t="s">
        <v>209</v>
      </c>
      <c r="F82" t="s">
        <v>174</v>
      </c>
      <c r="G82" t="s">
        <v>9</v>
      </c>
      <c r="I82" t="s">
        <v>27</v>
      </c>
      <c r="J82" s="3">
        <v>1</v>
      </c>
      <c r="K82" s="11">
        <v>46097</v>
      </c>
    </row>
    <row r="83" spans="1:11" x14ac:dyDescent="0.35">
      <c r="A83">
        <v>2026</v>
      </c>
      <c r="C83" t="s">
        <v>77</v>
      </c>
      <c r="D83" t="s">
        <v>188</v>
      </c>
      <c r="E83" t="s">
        <v>210</v>
      </c>
      <c r="F83" t="s">
        <v>174</v>
      </c>
      <c r="G83" t="s">
        <v>9</v>
      </c>
      <c r="I83" t="s">
        <v>27</v>
      </c>
      <c r="J83" s="3">
        <v>1</v>
      </c>
      <c r="K83" s="11">
        <v>46098</v>
      </c>
    </row>
    <row r="84" spans="1:11" x14ac:dyDescent="0.35">
      <c r="A84">
        <v>2026</v>
      </c>
      <c r="C84" t="s">
        <v>77</v>
      </c>
      <c r="D84" t="s">
        <v>188</v>
      </c>
      <c r="E84" t="s">
        <v>211</v>
      </c>
      <c r="F84" t="s">
        <v>174</v>
      </c>
      <c r="G84" t="s">
        <v>9</v>
      </c>
      <c r="I84" t="s">
        <v>27</v>
      </c>
      <c r="J84" s="3">
        <v>1</v>
      </c>
      <c r="K84" s="11">
        <v>46100</v>
      </c>
    </row>
    <row r="85" spans="1:11" x14ac:dyDescent="0.35">
      <c r="A85">
        <v>2026</v>
      </c>
      <c r="C85" t="s">
        <v>77</v>
      </c>
      <c r="D85" t="s">
        <v>188</v>
      </c>
      <c r="E85" t="s">
        <v>212</v>
      </c>
      <c r="F85" t="s">
        <v>174</v>
      </c>
      <c r="G85" t="s">
        <v>9</v>
      </c>
      <c r="I85" t="s">
        <v>27</v>
      </c>
      <c r="J85" s="3">
        <v>1</v>
      </c>
      <c r="K85" s="11">
        <v>46084</v>
      </c>
    </row>
    <row r="86" spans="1:11" x14ac:dyDescent="0.35">
      <c r="A86">
        <v>2026</v>
      </c>
      <c r="C86" t="s">
        <v>77</v>
      </c>
      <c r="D86" t="s">
        <v>188</v>
      </c>
      <c r="E86" t="s">
        <v>213</v>
      </c>
      <c r="F86" t="s">
        <v>174</v>
      </c>
      <c r="G86" t="s">
        <v>9</v>
      </c>
      <c r="I86" t="s">
        <v>27</v>
      </c>
      <c r="J86" s="3">
        <v>1</v>
      </c>
      <c r="K86" s="11">
        <v>46119</v>
      </c>
    </row>
    <row r="87" spans="1:11" x14ac:dyDescent="0.35">
      <c r="A87">
        <v>2026</v>
      </c>
      <c r="C87" t="s">
        <v>77</v>
      </c>
      <c r="D87" t="s">
        <v>188</v>
      </c>
      <c r="E87" t="s">
        <v>214</v>
      </c>
      <c r="F87" t="s">
        <v>174</v>
      </c>
      <c r="G87" t="s">
        <v>9</v>
      </c>
      <c r="I87" t="s">
        <v>27</v>
      </c>
      <c r="J87" s="3">
        <v>1</v>
      </c>
      <c r="K87" s="11">
        <v>46120</v>
      </c>
    </row>
    <row r="88" spans="1:11" x14ac:dyDescent="0.35">
      <c r="A88">
        <v>2026</v>
      </c>
      <c r="C88" t="s">
        <v>77</v>
      </c>
      <c r="D88" t="s">
        <v>188</v>
      </c>
      <c r="E88" t="s">
        <v>215</v>
      </c>
      <c r="F88" t="s">
        <v>174</v>
      </c>
      <c r="G88" t="s">
        <v>9</v>
      </c>
      <c r="I88" t="s">
        <v>27</v>
      </c>
      <c r="J88" s="3">
        <v>1</v>
      </c>
      <c r="K88" s="11">
        <v>46150</v>
      </c>
    </row>
    <row r="89" spans="1:11" x14ac:dyDescent="0.35">
      <c r="A89">
        <v>2026</v>
      </c>
      <c r="C89" t="s">
        <v>77</v>
      </c>
      <c r="D89" t="s">
        <v>188</v>
      </c>
      <c r="E89" t="s">
        <v>216</v>
      </c>
      <c r="F89" t="s">
        <v>174</v>
      </c>
      <c r="G89" t="s">
        <v>9</v>
      </c>
      <c r="I89" t="s">
        <v>27</v>
      </c>
      <c r="J89" s="3">
        <v>1</v>
      </c>
      <c r="K89" s="11">
        <v>46150</v>
      </c>
    </row>
    <row r="90" spans="1:11" x14ac:dyDescent="0.35">
      <c r="A90">
        <v>2026</v>
      </c>
      <c r="C90" t="s">
        <v>77</v>
      </c>
      <c r="D90" t="s">
        <v>188</v>
      </c>
      <c r="E90" t="s">
        <v>219</v>
      </c>
      <c r="F90" t="s">
        <v>174</v>
      </c>
      <c r="G90" t="s">
        <v>9</v>
      </c>
      <c r="I90" t="s">
        <v>27</v>
      </c>
      <c r="J90" s="3">
        <v>1</v>
      </c>
      <c r="K90" s="11">
        <v>46153</v>
      </c>
    </row>
    <row r="91" spans="1:11" x14ac:dyDescent="0.35">
      <c r="A91">
        <v>2026</v>
      </c>
      <c r="C91" t="s">
        <v>32</v>
      </c>
      <c r="D91" t="s">
        <v>222</v>
      </c>
      <c r="E91" t="s">
        <v>220</v>
      </c>
      <c r="F91" t="s">
        <v>174</v>
      </c>
      <c r="G91" t="s">
        <v>10</v>
      </c>
      <c r="H91" t="s">
        <v>11</v>
      </c>
      <c r="I91" t="s">
        <v>27</v>
      </c>
      <c r="J91" s="3">
        <v>1</v>
      </c>
      <c r="K91" s="11">
        <v>46170</v>
      </c>
    </row>
    <row r="92" spans="1:11" x14ac:dyDescent="0.35">
      <c r="A92">
        <v>2026</v>
      </c>
      <c r="C92" t="s">
        <v>32</v>
      </c>
      <c r="D92" t="s">
        <v>223</v>
      </c>
      <c r="E92" t="s">
        <v>226</v>
      </c>
      <c r="F92" t="s">
        <v>225</v>
      </c>
      <c r="G92" t="s">
        <v>11</v>
      </c>
      <c r="H92" t="s">
        <v>10</v>
      </c>
      <c r="I92" t="s">
        <v>20</v>
      </c>
      <c r="J92" s="3"/>
      <c r="K92" s="11">
        <v>46204</v>
      </c>
    </row>
    <row r="93" spans="1:11" x14ac:dyDescent="0.35">
      <c r="A93">
        <v>2026</v>
      </c>
      <c r="C93" t="s">
        <v>32</v>
      </c>
      <c r="D93" t="s">
        <v>224</v>
      </c>
      <c r="E93" t="s">
        <v>221</v>
      </c>
      <c r="F93" t="s">
        <v>228</v>
      </c>
      <c r="G93" t="s">
        <v>10</v>
      </c>
      <c r="H93" t="s">
        <v>11</v>
      </c>
      <c r="I93" t="s">
        <v>20</v>
      </c>
      <c r="J93" s="3"/>
      <c r="K93" s="11">
        <v>46178</v>
      </c>
    </row>
    <row r="94" spans="1:11" x14ac:dyDescent="0.35">
      <c r="A94">
        <v>2026</v>
      </c>
      <c r="C94" t="s">
        <v>77</v>
      </c>
      <c r="D94" t="s">
        <v>188</v>
      </c>
      <c r="E94" t="s">
        <v>227</v>
      </c>
      <c r="F94" t="s">
        <v>174</v>
      </c>
      <c r="G94" t="s">
        <v>9</v>
      </c>
      <c r="I94" t="s">
        <v>27</v>
      </c>
      <c r="J94" s="3">
        <v>1</v>
      </c>
      <c r="K94" s="11">
        <v>46175</v>
      </c>
    </row>
    <row r="95" spans="1:11" x14ac:dyDescent="0.35">
      <c r="A95">
        <v>2026</v>
      </c>
      <c r="C95" t="s">
        <v>32</v>
      </c>
      <c r="D95" t="s">
        <v>160</v>
      </c>
      <c r="E95" t="s">
        <v>161</v>
      </c>
      <c r="F95" t="s">
        <v>229</v>
      </c>
      <c r="G95" t="s">
        <v>10</v>
      </c>
      <c r="I95" t="s">
        <v>27</v>
      </c>
      <c r="J95" s="3"/>
      <c r="K95" s="11">
        <v>46184</v>
      </c>
    </row>
    <row r="96" spans="1:11" x14ac:dyDescent="0.35">
      <c r="A96">
        <v>2026</v>
      </c>
      <c r="C96" t="s">
        <v>32</v>
      </c>
      <c r="D96" t="s">
        <v>230</v>
      </c>
      <c r="E96" t="s">
        <v>231</v>
      </c>
      <c r="F96" t="s">
        <v>232</v>
      </c>
      <c r="G96" t="s">
        <v>10</v>
      </c>
      <c r="I96" t="s">
        <v>27</v>
      </c>
      <c r="J96" s="3"/>
      <c r="K96" s="11" t="s">
        <v>233</v>
      </c>
    </row>
    <row r="97" spans="10:11" x14ac:dyDescent="0.35">
      <c r="J97" s="3"/>
      <c r="K97" s="11"/>
    </row>
    <row r="98" spans="10:11" x14ac:dyDescent="0.35">
      <c r="J98" s="3"/>
      <c r="K98" s="11"/>
    </row>
    <row r="99" spans="10:11" x14ac:dyDescent="0.35">
      <c r="J99" s="3"/>
      <c r="K99" s="11"/>
    </row>
    <row r="100" spans="10:11" x14ac:dyDescent="0.35">
      <c r="J100" s="3"/>
      <c r="K100" s="11"/>
    </row>
    <row r="101" spans="10:11" x14ac:dyDescent="0.35">
      <c r="J101" s="3"/>
      <c r="K101" s="11"/>
    </row>
    <row r="102" spans="10:11" x14ac:dyDescent="0.35">
      <c r="J102" s="3"/>
      <c r="K102" s="11"/>
    </row>
    <row r="103" spans="10:11" x14ac:dyDescent="0.35">
      <c r="J103" s="3"/>
      <c r="K103" s="11"/>
    </row>
    <row r="104" spans="10:11" x14ac:dyDescent="0.35">
      <c r="J104" s="3"/>
      <c r="K104" s="11"/>
    </row>
    <row r="105" spans="10:11" x14ac:dyDescent="0.35">
      <c r="J105" s="3"/>
      <c r="K105" s="11"/>
    </row>
    <row r="106" spans="10:11" x14ac:dyDescent="0.35">
      <c r="J106" s="3"/>
      <c r="K106" s="11"/>
    </row>
    <row r="107" spans="10:11" x14ac:dyDescent="0.35">
      <c r="J107" s="3"/>
      <c r="K107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C2:C107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G108:G1048576 I2:I107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H108:H1048576 J2:J107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E108:E1048576 H2:H107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F108:F1048576 G2:G107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7</v>
      </c>
      <c r="B1" s="1" t="s">
        <v>8</v>
      </c>
      <c r="C1" s="1" t="s">
        <v>17</v>
      </c>
      <c r="D1" s="1" t="s">
        <v>18</v>
      </c>
      <c r="E1" s="1" t="s">
        <v>19</v>
      </c>
      <c r="F1" s="1" t="s">
        <v>29</v>
      </c>
    </row>
    <row r="2" spans="1:6" x14ac:dyDescent="0.35">
      <c r="A2" t="s">
        <v>9</v>
      </c>
      <c r="B2" t="s">
        <v>9</v>
      </c>
      <c r="C2" t="s">
        <v>20</v>
      </c>
      <c r="D2" s="2">
        <v>0</v>
      </c>
      <c r="E2" t="s">
        <v>22</v>
      </c>
      <c r="F2" t="s">
        <v>30</v>
      </c>
    </row>
    <row r="3" spans="1:6" x14ac:dyDescent="0.35">
      <c r="A3" t="s">
        <v>10</v>
      </c>
      <c r="B3" t="s">
        <v>10</v>
      </c>
      <c r="C3" t="s">
        <v>27</v>
      </c>
      <c r="D3" s="2">
        <v>0.1</v>
      </c>
      <c r="E3" t="s">
        <v>23</v>
      </c>
      <c r="F3" t="s">
        <v>31</v>
      </c>
    </row>
    <row r="4" spans="1:6" x14ac:dyDescent="0.35">
      <c r="A4" t="s">
        <v>11</v>
      </c>
      <c r="B4" t="s">
        <v>11</v>
      </c>
      <c r="C4" t="s">
        <v>21</v>
      </c>
      <c r="D4" s="2">
        <v>0.2</v>
      </c>
      <c r="E4" t="s">
        <v>24</v>
      </c>
      <c r="F4" t="s">
        <v>32</v>
      </c>
    </row>
    <row r="5" spans="1:6" x14ac:dyDescent="0.35">
      <c r="A5" t="s">
        <v>14</v>
      </c>
      <c r="B5" t="s">
        <v>25</v>
      </c>
      <c r="C5" t="s">
        <v>28</v>
      </c>
      <c r="D5" s="2">
        <v>0.3</v>
      </c>
      <c r="F5" t="s">
        <v>77</v>
      </c>
    </row>
    <row r="6" spans="1:6" x14ac:dyDescent="0.35">
      <c r="A6" t="s">
        <v>15</v>
      </c>
      <c r="B6" t="s">
        <v>26</v>
      </c>
      <c r="D6" s="2">
        <v>0.4</v>
      </c>
    </row>
    <row r="7" spans="1:6" x14ac:dyDescent="0.35">
      <c r="A7" t="s">
        <v>16</v>
      </c>
      <c r="D7" s="2">
        <v>0.5</v>
      </c>
    </row>
    <row r="8" spans="1:6" x14ac:dyDescent="0.35">
      <c r="A8" t="s">
        <v>25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43</v>
      </c>
      <c r="C3" t="s">
        <v>45</v>
      </c>
      <c r="G3" s="4" t="s">
        <v>43</v>
      </c>
      <c r="H3" t="s">
        <v>75</v>
      </c>
    </row>
    <row r="4" spans="2:8" x14ac:dyDescent="0.35">
      <c r="B4" s="5" t="s">
        <v>31</v>
      </c>
      <c r="C4">
        <v>8</v>
      </c>
      <c r="G4" s="5" t="s">
        <v>68</v>
      </c>
      <c r="H4">
        <v>1</v>
      </c>
    </row>
    <row r="5" spans="2:8" x14ac:dyDescent="0.35">
      <c r="B5" s="5" t="s">
        <v>32</v>
      </c>
      <c r="C5">
        <v>18</v>
      </c>
      <c r="G5" s="5" t="s">
        <v>73</v>
      </c>
      <c r="H5">
        <v>3</v>
      </c>
    </row>
    <row r="6" spans="2:8" x14ac:dyDescent="0.35">
      <c r="B6" s="5" t="s">
        <v>44</v>
      </c>
      <c r="C6">
        <v>26</v>
      </c>
      <c r="G6" s="5" t="s">
        <v>63</v>
      </c>
      <c r="H6">
        <v>12</v>
      </c>
    </row>
    <row r="7" spans="2:8" x14ac:dyDescent="0.35">
      <c r="G7" s="5" t="s">
        <v>71</v>
      </c>
      <c r="H7">
        <v>2</v>
      </c>
    </row>
    <row r="8" spans="2:8" x14ac:dyDescent="0.35">
      <c r="G8" s="5" t="s">
        <v>66</v>
      </c>
      <c r="H8">
        <v>1</v>
      </c>
    </row>
    <row r="9" spans="2:8" x14ac:dyDescent="0.35">
      <c r="G9" s="5" t="s">
        <v>70</v>
      </c>
      <c r="H9">
        <v>2</v>
      </c>
    </row>
    <row r="10" spans="2:8" x14ac:dyDescent="0.35">
      <c r="G10" s="5" t="s">
        <v>72</v>
      </c>
      <c r="H10">
        <v>6</v>
      </c>
    </row>
    <row r="11" spans="2:8" x14ac:dyDescent="0.35">
      <c r="G11" s="5" t="s">
        <v>40</v>
      </c>
      <c r="H11">
        <v>10</v>
      </c>
    </row>
    <row r="12" spans="2:8" x14ac:dyDescent="0.35">
      <c r="B12" s="4" t="s">
        <v>43</v>
      </c>
      <c r="C12" t="s">
        <v>46</v>
      </c>
      <c r="G12" s="5" t="s">
        <v>61</v>
      </c>
      <c r="H12">
        <v>5</v>
      </c>
    </row>
    <row r="13" spans="2:8" x14ac:dyDescent="0.35">
      <c r="B13" s="5" t="s">
        <v>11</v>
      </c>
      <c r="C13">
        <v>3</v>
      </c>
      <c r="G13" s="5" t="s">
        <v>67</v>
      </c>
      <c r="H13">
        <v>2</v>
      </c>
    </row>
    <row r="14" spans="2:8" x14ac:dyDescent="0.35">
      <c r="B14" s="5" t="s">
        <v>12</v>
      </c>
      <c r="C14">
        <v>3</v>
      </c>
      <c r="G14" s="5" t="s">
        <v>64</v>
      </c>
      <c r="H14">
        <v>2</v>
      </c>
    </row>
    <row r="15" spans="2:8" x14ac:dyDescent="0.35">
      <c r="B15" s="5" t="s">
        <v>9</v>
      </c>
      <c r="C15">
        <v>5</v>
      </c>
      <c r="G15" s="5" t="s">
        <v>62</v>
      </c>
      <c r="H15">
        <v>5</v>
      </c>
    </row>
    <row r="16" spans="2:8" x14ac:dyDescent="0.35">
      <c r="B16" s="5" t="s">
        <v>10</v>
      </c>
      <c r="C16">
        <v>15</v>
      </c>
      <c r="G16" s="5" t="s">
        <v>65</v>
      </c>
      <c r="H16">
        <v>15</v>
      </c>
    </row>
    <row r="17" spans="2:8" x14ac:dyDescent="0.35">
      <c r="B17" s="5" t="s">
        <v>44</v>
      </c>
      <c r="C17">
        <v>26</v>
      </c>
      <c r="G17" s="5" t="s">
        <v>74</v>
      </c>
      <c r="H17">
        <v>6</v>
      </c>
    </row>
    <row r="18" spans="2:8" x14ac:dyDescent="0.35">
      <c r="G18" s="5" t="s">
        <v>33</v>
      </c>
      <c r="H18">
        <v>1</v>
      </c>
    </row>
    <row r="19" spans="2:8" x14ac:dyDescent="0.35">
      <c r="G19" s="5" t="s">
        <v>41</v>
      </c>
      <c r="H19">
        <v>26</v>
      </c>
    </row>
    <row r="20" spans="2:8" x14ac:dyDescent="0.35">
      <c r="G20" s="5" t="s">
        <v>69</v>
      </c>
      <c r="H20">
        <v>1</v>
      </c>
    </row>
    <row r="21" spans="2:8" x14ac:dyDescent="0.35">
      <c r="B21" s="4" t="s">
        <v>43</v>
      </c>
      <c r="C21" t="s">
        <v>47</v>
      </c>
      <c r="G21" s="5" t="s">
        <v>44</v>
      </c>
      <c r="H21">
        <v>100</v>
      </c>
    </row>
    <row r="22" spans="2:8" x14ac:dyDescent="0.35">
      <c r="B22" s="5" t="s">
        <v>9</v>
      </c>
      <c r="C22">
        <v>4</v>
      </c>
    </row>
    <row r="23" spans="2:8" x14ac:dyDescent="0.35">
      <c r="B23" s="5" t="s">
        <v>10</v>
      </c>
      <c r="C23">
        <v>7</v>
      </c>
    </row>
    <row r="24" spans="2:8" x14ac:dyDescent="0.35">
      <c r="B24" s="5" t="s">
        <v>25</v>
      </c>
      <c r="C24">
        <v>4</v>
      </c>
    </row>
    <row r="25" spans="2:8" x14ac:dyDescent="0.35">
      <c r="B25" s="5" t="s">
        <v>26</v>
      </c>
      <c r="C25">
        <v>1</v>
      </c>
    </row>
    <row r="26" spans="2:8" x14ac:dyDescent="0.35">
      <c r="B26" s="5" t="s">
        <v>44</v>
      </c>
      <c r="C26">
        <v>16</v>
      </c>
    </row>
    <row r="30" spans="2:8" x14ac:dyDescent="0.35">
      <c r="B30" s="4" t="s">
        <v>43</v>
      </c>
      <c r="C30" t="s">
        <v>48</v>
      </c>
    </row>
    <row r="31" spans="2:8" x14ac:dyDescent="0.35">
      <c r="B31" s="5" t="s">
        <v>27</v>
      </c>
      <c r="C31">
        <v>15</v>
      </c>
    </row>
    <row r="32" spans="2:8" x14ac:dyDescent="0.35">
      <c r="B32" s="5" t="s">
        <v>20</v>
      </c>
      <c r="C32">
        <v>4</v>
      </c>
    </row>
    <row r="33" spans="2:3" x14ac:dyDescent="0.35">
      <c r="B33" s="5" t="s">
        <v>21</v>
      </c>
      <c r="C33">
        <v>2</v>
      </c>
    </row>
    <row r="34" spans="2:3" x14ac:dyDescent="0.35">
      <c r="B34" s="5" t="s">
        <v>28</v>
      </c>
      <c r="C34">
        <v>1</v>
      </c>
    </row>
    <row r="35" spans="2:3" x14ac:dyDescent="0.35">
      <c r="B35" s="5" t="s">
        <v>44</v>
      </c>
      <c r="C35">
        <v>22</v>
      </c>
    </row>
    <row r="38" spans="2:3" x14ac:dyDescent="0.35">
      <c r="B38" s="4" t="s">
        <v>3</v>
      </c>
      <c r="C38" t="s">
        <v>10</v>
      </c>
    </row>
    <row r="39" spans="2:3" x14ac:dyDescent="0.35">
      <c r="B39" s="4" t="s">
        <v>5</v>
      </c>
      <c r="C39" t="s">
        <v>53</v>
      </c>
    </row>
    <row r="41" spans="2:3" x14ac:dyDescent="0.35">
      <c r="B41" s="4" t="s">
        <v>43</v>
      </c>
      <c r="C41" t="s">
        <v>54</v>
      </c>
    </row>
    <row r="42" spans="2:3" x14ac:dyDescent="0.35">
      <c r="B42" s="5" t="s">
        <v>39</v>
      </c>
      <c r="C42">
        <v>1</v>
      </c>
    </row>
    <row r="43" spans="2:3" x14ac:dyDescent="0.35">
      <c r="B43" s="5" t="s">
        <v>38</v>
      </c>
      <c r="C43">
        <v>1</v>
      </c>
    </row>
    <row r="44" spans="2:3" x14ac:dyDescent="0.35">
      <c r="B44" s="5" t="s">
        <v>34</v>
      </c>
      <c r="C44">
        <v>1</v>
      </c>
    </row>
    <row r="45" spans="2:3" x14ac:dyDescent="0.35">
      <c r="B45" s="5" t="s">
        <v>35</v>
      </c>
      <c r="C45">
        <v>1</v>
      </c>
    </row>
    <row r="46" spans="2:3" x14ac:dyDescent="0.35">
      <c r="B46" s="5" t="s">
        <v>44</v>
      </c>
      <c r="C46">
        <v>4</v>
      </c>
    </row>
    <row r="49" spans="2:3" x14ac:dyDescent="0.35">
      <c r="B49" s="4" t="s">
        <v>3</v>
      </c>
      <c r="C49" t="s">
        <v>9</v>
      </c>
    </row>
    <row r="50" spans="2:3" x14ac:dyDescent="0.35">
      <c r="B50" s="4" t="s">
        <v>5</v>
      </c>
      <c r="C50" t="s">
        <v>53</v>
      </c>
    </row>
    <row r="52" spans="2:3" x14ac:dyDescent="0.35">
      <c r="B52" s="4" t="s">
        <v>43</v>
      </c>
      <c r="C52" t="s">
        <v>54</v>
      </c>
    </row>
    <row r="53" spans="2:3" x14ac:dyDescent="0.35">
      <c r="B53" s="5" t="s">
        <v>56</v>
      </c>
      <c r="C53">
        <v>1</v>
      </c>
    </row>
    <row r="54" spans="2:3" x14ac:dyDescent="0.35">
      <c r="B54" s="5" t="s">
        <v>57</v>
      </c>
      <c r="C54">
        <v>1</v>
      </c>
    </row>
    <row r="55" spans="2:3" x14ac:dyDescent="0.35">
      <c r="B55" s="5" t="s">
        <v>58</v>
      </c>
      <c r="C55">
        <v>1</v>
      </c>
    </row>
    <row r="56" spans="2:3" x14ac:dyDescent="0.35">
      <c r="B56" s="5" t="s">
        <v>44</v>
      </c>
      <c r="C56">
        <v>3</v>
      </c>
    </row>
    <row r="59" spans="2:3" x14ac:dyDescent="0.35">
      <c r="B59" s="4" t="s">
        <v>3</v>
      </c>
      <c r="C59" t="s">
        <v>11</v>
      </c>
    </row>
    <row r="60" spans="2:3" x14ac:dyDescent="0.35">
      <c r="B60" s="4" t="s">
        <v>5</v>
      </c>
      <c r="C60" t="s">
        <v>53</v>
      </c>
    </row>
    <row r="62" spans="2:3" x14ac:dyDescent="0.35">
      <c r="B62" s="4" t="s">
        <v>43</v>
      </c>
      <c r="C62" t="s">
        <v>54</v>
      </c>
    </row>
    <row r="63" spans="2:3" x14ac:dyDescent="0.35">
      <c r="B63" s="5" t="s">
        <v>36</v>
      </c>
      <c r="C63">
        <v>1</v>
      </c>
    </row>
    <row r="64" spans="2:3" x14ac:dyDescent="0.35">
      <c r="B64" s="5" t="s">
        <v>33</v>
      </c>
      <c r="C64">
        <v>1</v>
      </c>
    </row>
    <row r="65" spans="2:3" x14ac:dyDescent="0.35">
      <c r="B65" s="5" t="s">
        <v>44</v>
      </c>
      <c r="C65">
        <v>2</v>
      </c>
    </row>
    <row r="68" spans="2:3" x14ac:dyDescent="0.35">
      <c r="B68" s="4" t="s">
        <v>3</v>
      </c>
      <c r="C68" t="s">
        <v>13</v>
      </c>
    </row>
    <row r="69" spans="2:3" x14ac:dyDescent="0.35">
      <c r="B69" s="4" t="s">
        <v>5</v>
      </c>
      <c r="C69" t="s">
        <v>53</v>
      </c>
    </row>
    <row r="71" spans="2:3" x14ac:dyDescent="0.35">
      <c r="B71" s="4" t="s">
        <v>43</v>
      </c>
      <c r="C71" t="s">
        <v>54</v>
      </c>
    </row>
    <row r="72" spans="2:3" x14ac:dyDescent="0.35">
      <c r="B72" s="5" t="s">
        <v>44</v>
      </c>
    </row>
    <row r="75" spans="2:3" x14ac:dyDescent="0.35">
      <c r="B75" s="4" t="s">
        <v>3</v>
      </c>
      <c r="C75" t="s">
        <v>12</v>
      </c>
    </row>
    <row r="76" spans="2:3" x14ac:dyDescent="0.35">
      <c r="B76" s="4" t="s">
        <v>5</v>
      </c>
      <c r="C76" t="s">
        <v>53</v>
      </c>
    </row>
    <row r="78" spans="2:3" x14ac:dyDescent="0.35">
      <c r="B78" s="4" t="s">
        <v>43</v>
      </c>
      <c r="C78" t="s">
        <v>54</v>
      </c>
    </row>
    <row r="79" spans="2:3" x14ac:dyDescent="0.35">
      <c r="B79" s="5" t="s">
        <v>37</v>
      </c>
      <c r="C79">
        <v>1</v>
      </c>
    </row>
    <row r="80" spans="2:3" x14ac:dyDescent="0.35">
      <c r="B80" s="5" t="s">
        <v>44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22" t="s">
        <v>49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</row>
    <row r="2" spans="1:20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</row>
    <row r="3" spans="1:20" x14ac:dyDescent="0.2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24">
        <f>GETPIVOTDATA("TIPO",TD!$B$3)</f>
        <v>26</v>
      </c>
      <c r="D5" s="25"/>
      <c r="E5" s="25"/>
      <c r="F5" s="26"/>
      <c r="G5" s="7"/>
      <c r="H5" s="7"/>
      <c r="I5" s="24">
        <f>GETPIVOTDATA("ESTADO",TD!$B$30,"ESTADO","Completo")</f>
        <v>15</v>
      </c>
      <c r="J5" s="25"/>
      <c r="K5" s="25"/>
      <c r="L5" s="26"/>
      <c r="M5" s="7"/>
      <c r="N5" s="7"/>
      <c r="O5" s="23"/>
      <c r="P5" s="23"/>
      <c r="Q5" s="23"/>
      <c r="R5" s="23"/>
      <c r="S5" s="7"/>
      <c r="T5" s="7"/>
    </row>
    <row r="6" spans="1:20" ht="13.5" customHeight="1" x14ac:dyDescent="0.25">
      <c r="A6" s="7"/>
      <c r="B6" s="7"/>
      <c r="C6" s="27"/>
      <c r="D6" s="28"/>
      <c r="E6" s="28"/>
      <c r="F6" s="29"/>
      <c r="G6" s="7"/>
      <c r="H6" s="7"/>
      <c r="I6" s="27"/>
      <c r="J6" s="28"/>
      <c r="K6" s="28"/>
      <c r="L6" s="29"/>
      <c r="M6" s="7"/>
      <c r="N6" s="7"/>
      <c r="O6" s="23"/>
      <c r="P6" s="23"/>
      <c r="Q6" s="23"/>
      <c r="R6" s="23"/>
      <c r="S6" s="7"/>
      <c r="T6" s="7"/>
    </row>
    <row r="7" spans="1:20" ht="13.5" customHeight="1" x14ac:dyDescent="0.25">
      <c r="A7" s="7"/>
      <c r="B7" s="7"/>
      <c r="C7" s="27"/>
      <c r="D7" s="28"/>
      <c r="E7" s="28"/>
      <c r="F7" s="29"/>
      <c r="G7" s="7"/>
      <c r="H7" s="7"/>
      <c r="I7" s="27"/>
      <c r="J7" s="28"/>
      <c r="K7" s="28"/>
      <c r="L7" s="29"/>
      <c r="M7" s="7"/>
      <c r="N7" s="7"/>
      <c r="O7" s="23"/>
      <c r="P7" s="23"/>
      <c r="Q7" s="23"/>
      <c r="R7" s="23"/>
      <c r="S7" s="7"/>
      <c r="T7" s="7"/>
    </row>
    <row r="8" spans="1:20" ht="14" x14ac:dyDescent="0.25">
      <c r="A8" s="7"/>
      <c r="B8" s="7"/>
      <c r="C8" s="30" t="s">
        <v>50</v>
      </c>
      <c r="D8" s="31"/>
      <c r="E8" s="31"/>
      <c r="F8" s="32"/>
      <c r="G8" s="7"/>
      <c r="H8" s="7"/>
      <c r="I8" s="30" t="s">
        <v>51</v>
      </c>
      <c r="J8" s="31"/>
      <c r="K8" s="31"/>
      <c r="L8" s="32"/>
      <c r="M8" s="7"/>
      <c r="N8" s="7"/>
      <c r="O8" s="23"/>
      <c r="P8" s="23"/>
      <c r="Q8" s="23"/>
      <c r="R8" s="23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3" t="s">
        <v>10</v>
      </c>
      <c r="B10" s="34"/>
      <c r="C10" s="35"/>
      <c r="D10" s="9"/>
      <c r="E10" s="33" t="s">
        <v>9</v>
      </c>
      <c r="F10" s="34"/>
      <c r="G10" s="35"/>
      <c r="H10" s="9"/>
      <c r="I10" s="33" t="s">
        <v>11</v>
      </c>
      <c r="J10" s="34"/>
      <c r="K10" s="35"/>
      <c r="L10" s="9"/>
      <c r="M10" s="33" t="s">
        <v>13</v>
      </c>
      <c r="N10" s="34"/>
      <c r="O10" s="35"/>
      <c r="P10" s="9"/>
      <c r="Q10" s="33" t="s">
        <v>12</v>
      </c>
      <c r="R10" s="34"/>
      <c r="S10" s="35"/>
      <c r="T10" s="9"/>
    </row>
    <row r="11" spans="1:20" s="10" customFormat="1" ht="8.5" customHeight="1" x14ac:dyDescent="0.35">
      <c r="A11" s="36"/>
      <c r="B11" s="37"/>
      <c r="C11" s="38"/>
      <c r="D11" s="9"/>
      <c r="E11" s="36"/>
      <c r="F11" s="37"/>
      <c r="G11" s="38"/>
      <c r="H11" s="9"/>
      <c r="I11" s="36"/>
      <c r="J11" s="37"/>
      <c r="K11" s="38"/>
      <c r="L11" s="9"/>
      <c r="M11" s="36"/>
      <c r="N11" s="37"/>
      <c r="O11" s="38"/>
      <c r="P11" s="9"/>
      <c r="Q11" s="36"/>
      <c r="R11" s="37"/>
      <c r="S11" s="38"/>
      <c r="T11" s="9"/>
    </row>
    <row r="13" spans="1:20" s="8" customFormat="1" ht="15" x14ac:dyDescent="0.3">
      <c r="A13" s="45" t="s">
        <v>52</v>
      </c>
      <c r="B13" s="46"/>
      <c r="C13" s="47"/>
      <c r="E13" s="45" t="s">
        <v>52</v>
      </c>
      <c r="F13" s="46"/>
      <c r="G13" s="47"/>
      <c r="I13" s="45" t="s">
        <v>52</v>
      </c>
      <c r="J13" s="46"/>
      <c r="K13" s="47"/>
      <c r="M13" s="45" t="s">
        <v>52</v>
      </c>
      <c r="N13" s="46"/>
      <c r="O13" s="47"/>
      <c r="Q13" s="45" t="s">
        <v>52</v>
      </c>
      <c r="R13" s="46"/>
      <c r="S13" s="47"/>
    </row>
    <row r="14" spans="1:20" x14ac:dyDescent="0.25">
      <c r="A14" s="39">
        <f>GETPIVOTDATA("ENCARGADO",TD!$B$12,"ENCARGADO","Dome")</f>
        <v>15</v>
      </c>
      <c r="B14" s="40"/>
      <c r="C14" s="41"/>
      <c r="D14" s="7"/>
      <c r="E14" s="39">
        <f>GETPIVOTDATA("ENCARGADO",TD!$B$12,"ENCARGADO","Dillan")</f>
        <v>5</v>
      </c>
      <c r="F14" s="40"/>
      <c r="G14" s="41"/>
      <c r="H14" s="7"/>
      <c r="I14" s="39">
        <f>GETPIVOTDATA("ENCARGADO",TD!$B$12,"ENCARGADO","Andrei")</f>
        <v>3</v>
      </c>
      <c r="J14" s="40"/>
      <c r="K14" s="41"/>
      <c r="L14" s="7"/>
      <c r="M14" s="39" t="e">
        <f>GETPIVOTDATA("ENCARGADO",TD!$B$12,"ENCARGADO","Martin")</f>
        <v>#REF!</v>
      </c>
      <c r="N14" s="40"/>
      <c r="O14" s="41"/>
      <c r="P14" s="7"/>
      <c r="Q14" s="39">
        <f>GETPIVOTDATA("ENCARGADO",TD!$B$12,"ENCARGADO","David")</f>
        <v>3</v>
      </c>
      <c r="R14" s="40"/>
      <c r="S14" s="41"/>
    </row>
    <row r="15" spans="1:20" x14ac:dyDescent="0.25">
      <c r="A15" s="42"/>
      <c r="B15" s="43"/>
      <c r="C15" s="44"/>
      <c r="D15" s="7"/>
      <c r="E15" s="42"/>
      <c r="F15" s="43"/>
      <c r="G15" s="44"/>
      <c r="H15" s="7"/>
      <c r="I15" s="42"/>
      <c r="J15" s="43"/>
      <c r="K15" s="44"/>
      <c r="L15" s="7"/>
      <c r="M15" s="42"/>
      <c r="N15" s="43"/>
      <c r="O15" s="44"/>
      <c r="P15" s="7"/>
      <c r="Q15" s="42"/>
      <c r="R15" s="43"/>
      <c r="S15" s="44"/>
    </row>
    <row r="16" spans="1:20" ht="14" x14ac:dyDescent="0.3">
      <c r="A16" s="13" t="s">
        <v>8</v>
      </c>
      <c r="B16" s="14"/>
      <c r="C16" s="15"/>
      <c r="D16" s="7"/>
      <c r="E16" s="13" t="s">
        <v>8</v>
      </c>
      <c r="F16" s="14"/>
      <c r="G16" s="15"/>
      <c r="H16" s="7"/>
      <c r="I16" s="13" t="s">
        <v>8</v>
      </c>
      <c r="J16" s="14"/>
      <c r="K16" s="15"/>
      <c r="L16" s="7"/>
      <c r="M16" s="13" t="s">
        <v>8</v>
      </c>
      <c r="N16" s="14"/>
      <c r="O16" s="15"/>
      <c r="P16" s="7"/>
      <c r="Q16" s="13" t="s">
        <v>8</v>
      </c>
      <c r="R16" s="14"/>
      <c r="S16" s="15"/>
    </row>
    <row r="17" spans="1:19" ht="8.5" customHeight="1" x14ac:dyDescent="0.25">
      <c r="A17" s="16">
        <f>TD!$C$23</f>
        <v>7</v>
      </c>
      <c r="B17" s="17"/>
      <c r="C17" s="18"/>
      <c r="D17" s="7"/>
      <c r="E17" s="16">
        <f>TD!$C$22+TD!$C$25</f>
        <v>5</v>
      </c>
      <c r="F17" s="17"/>
      <c r="G17" s="18"/>
      <c r="H17" s="7"/>
      <c r="I17" s="16"/>
      <c r="J17" s="17"/>
      <c r="K17" s="18"/>
      <c r="L17" s="7"/>
      <c r="M17" s="16">
        <f>TD!$C$24</f>
        <v>4</v>
      </c>
      <c r="N17" s="17"/>
      <c r="O17" s="18"/>
      <c r="P17" s="7"/>
      <c r="Q17" s="16">
        <f>TD!$C$24</f>
        <v>4</v>
      </c>
      <c r="R17" s="17"/>
      <c r="S17" s="18"/>
    </row>
    <row r="18" spans="1:19" ht="6.5" customHeight="1" x14ac:dyDescent="0.25">
      <c r="A18" s="19"/>
      <c r="B18" s="20"/>
      <c r="C18" s="21"/>
      <c r="D18" s="7"/>
      <c r="E18" s="19"/>
      <c r="F18" s="20"/>
      <c r="G18" s="21"/>
      <c r="H18" s="7"/>
      <c r="I18" s="19"/>
      <c r="J18" s="20"/>
      <c r="K18" s="21"/>
      <c r="L18" s="7"/>
      <c r="M18" s="19"/>
      <c r="N18" s="20"/>
      <c r="O18" s="21"/>
      <c r="P18" s="7"/>
      <c r="Q18" s="19"/>
      <c r="R18" s="20"/>
      <c r="S18" s="21"/>
    </row>
    <row r="20" spans="1:19" s="8" customFormat="1" ht="15" x14ac:dyDescent="0.3">
      <c r="A20" s="54" t="s">
        <v>55</v>
      </c>
      <c r="B20" s="55"/>
      <c r="C20" s="56"/>
      <c r="E20" s="54" t="s">
        <v>55</v>
      </c>
      <c r="F20" s="55"/>
      <c r="G20" s="56"/>
      <c r="I20" s="54" t="s">
        <v>55</v>
      </c>
      <c r="J20" s="55"/>
      <c r="K20" s="56"/>
      <c r="M20" s="54" t="s">
        <v>55</v>
      </c>
      <c r="N20" s="55"/>
      <c r="O20" s="56"/>
      <c r="Q20" s="54" t="s">
        <v>55</v>
      </c>
      <c r="R20" s="55"/>
      <c r="S20" s="56"/>
    </row>
    <row r="21" spans="1:19" x14ac:dyDescent="0.25">
      <c r="A21" s="48"/>
      <c r="B21" s="48"/>
      <c r="C21" s="49"/>
      <c r="E21" s="52"/>
      <c r="F21" s="48"/>
      <c r="G21" s="49"/>
      <c r="I21" s="52"/>
      <c r="J21" s="48"/>
      <c r="K21" s="49"/>
      <c r="M21" s="52"/>
      <c r="N21" s="48"/>
      <c r="O21" s="49"/>
      <c r="Q21" s="52"/>
      <c r="R21" s="48"/>
      <c r="S21" s="49"/>
    </row>
    <row r="22" spans="1:19" x14ac:dyDescent="0.25">
      <c r="A22" s="48"/>
      <c r="B22" s="48"/>
      <c r="C22" s="49"/>
      <c r="E22" s="52"/>
      <c r="F22" s="48"/>
      <c r="G22" s="49"/>
      <c r="I22" s="52"/>
      <c r="J22" s="48"/>
      <c r="K22" s="49"/>
      <c r="M22" s="52"/>
      <c r="N22" s="48"/>
      <c r="O22" s="49"/>
      <c r="Q22" s="52"/>
      <c r="R22" s="48"/>
      <c r="S22" s="49"/>
    </row>
    <row r="23" spans="1:19" x14ac:dyDescent="0.25">
      <c r="A23" s="48"/>
      <c r="B23" s="48"/>
      <c r="C23" s="49"/>
      <c r="E23" s="52"/>
      <c r="F23" s="48"/>
      <c r="G23" s="49"/>
      <c r="I23" s="52"/>
      <c r="J23" s="48"/>
      <c r="K23" s="49"/>
      <c r="M23" s="52"/>
      <c r="N23" s="48"/>
      <c r="O23" s="49"/>
      <c r="Q23" s="52"/>
      <c r="R23" s="48"/>
      <c r="S23" s="49"/>
    </row>
    <row r="24" spans="1:19" x14ac:dyDescent="0.25">
      <c r="A24" s="48"/>
      <c r="B24" s="48"/>
      <c r="C24" s="49"/>
      <c r="E24" s="52"/>
      <c r="F24" s="48"/>
      <c r="G24" s="49"/>
      <c r="I24" s="52"/>
      <c r="J24" s="48"/>
      <c r="K24" s="49"/>
      <c r="M24" s="52"/>
      <c r="N24" s="48"/>
      <c r="O24" s="49"/>
      <c r="Q24" s="52"/>
      <c r="R24" s="48"/>
      <c r="S24" s="49"/>
    </row>
    <row r="25" spans="1:19" x14ac:dyDescent="0.25">
      <c r="A25" s="48"/>
      <c r="B25" s="48"/>
      <c r="C25" s="49"/>
      <c r="E25" s="52"/>
      <c r="F25" s="48"/>
      <c r="G25" s="49"/>
      <c r="I25" s="52"/>
      <c r="J25" s="48"/>
      <c r="K25" s="49"/>
      <c r="M25" s="52"/>
      <c r="N25" s="48"/>
      <c r="O25" s="49"/>
      <c r="Q25" s="52"/>
      <c r="R25" s="48"/>
      <c r="S25" s="49"/>
    </row>
    <row r="26" spans="1:19" x14ac:dyDescent="0.25">
      <c r="A26" s="48"/>
      <c r="B26" s="48"/>
      <c r="C26" s="49"/>
      <c r="E26" s="52"/>
      <c r="F26" s="48"/>
      <c r="G26" s="49"/>
      <c r="I26" s="52"/>
      <c r="J26" s="48"/>
      <c r="K26" s="49"/>
      <c r="M26" s="52"/>
      <c r="N26" s="48"/>
      <c r="O26" s="49"/>
      <c r="Q26" s="52"/>
      <c r="R26" s="48"/>
      <c r="S26" s="49"/>
    </row>
    <row r="27" spans="1:19" x14ac:dyDescent="0.25">
      <c r="A27" s="48"/>
      <c r="B27" s="48"/>
      <c r="C27" s="49"/>
      <c r="E27" s="52"/>
      <c r="F27" s="48"/>
      <c r="G27" s="49"/>
      <c r="I27" s="52"/>
      <c r="J27" s="48"/>
      <c r="K27" s="49"/>
      <c r="M27" s="52"/>
      <c r="N27" s="48"/>
      <c r="O27" s="49"/>
      <c r="Q27" s="52"/>
      <c r="R27" s="48"/>
      <c r="S27" s="49"/>
    </row>
    <row r="28" spans="1:19" x14ac:dyDescent="0.25">
      <c r="A28" s="48"/>
      <c r="B28" s="48"/>
      <c r="C28" s="49"/>
      <c r="E28" s="52"/>
      <c r="F28" s="48"/>
      <c r="G28" s="49"/>
      <c r="I28" s="52"/>
      <c r="J28" s="48"/>
      <c r="K28" s="49"/>
      <c r="M28" s="52"/>
      <c r="N28" s="48"/>
      <c r="O28" s="49"/>
      <c r="Q28" s="52"/>
      <c r="R28" s="48"/>
      <c r="S28" s="49"/>
    </row>
    <row r="29" spans="1:19" x14ac:dyDescent="0.25">
      <c r="A29" s="48"/>
      <c r="B29" s="48"/>
      <c r="C29" s="49"/>
      <c r="E29" s="52"/>
      <c r="F29" s="48"/>
      <c r="G29" s="49"/>
      <c r="I29" s="52"/>
      <c r="J29" s="48"/>
      <c r="K29" s="49"/>
      <c r="M29" s="52"/>
      <c r="N29" s="48"/>
      <c r="O29" s="49"/>
      <c r="Q29" s="52"/>
      <c r="R29" s="48"/>
      <c r="S29" s="49"/>
    </row>
    <row r="30" spans="1:19" x14ac:dyDescent="0.25">
      <c r="A30" s="48"/>
      <c r="B30" s="48"/>
      <c r="C30" s="49"/>
      <c r="E30" s="52"/>
      <c r="F30" s="48"/>
      <c r="G30" s="49"/>
      <c r="I30" s="52"/>
      <c r="J30" s="48"/>
      <c r="K30" s="49"/>
      <c r="M30" s="52"/>
      <c r="N30" s="48"/>
      <c r="O30" s="49"/>
      <c r="Q30" s="52"/>
      <c r="R30" s="48"/>
      <c r="S30" s="49"/>
    </row>
    <row r="31" spans="1:19" x14ac:dyDescent="0.25">
      <c r="A31" s="48"/>
      <c r="B31" s="48"/>
      <c r="C31" s="49"/>
      <c r="E31" s="52"/>
      <c r="F31" s="48"/>
      <c r="G31" s="49"/>
      <c r="I31" s="52"/>
      <c r="J31" s="48"/>
      <c r="K31" s="49"/>
      <c r="M31" s="52"/>
      <c r="N31" s="48"/>
      <c r="O31" s="49"/>
      <c r="Q31" s="52"/>
      <c r="R31" s="48"/>
      <c r="S31" s="49"/>
    </row>
    <row r="32" spans="1:19" x14ac:dyDescent="0.25">
      <c r="A32" s="48"/>
      <c r="B32" s="48"/>
      <c r="C32" s="49"/>
      <c r="E32" s="52"/>
      <c r="F32" s="48"/>
      <c r="G32" s="49"/>
      <c r="I32" s="52"/>
      <c r="J32" s="48"/>
      <c r="K32" s="49"/>
      <c r="M32" s="52"/>
      <c r="N32" s="48"/>
      <c r="O32" s="49"/>
      <c r="Q32" s="52"/>
      <c r="R32" s="48"/>
      <c r="S32" s="49"/>
    </row>
    <row r="33" spans="1:19" x14ac:dyDescent="0.25">
      <c r="A33" s="48"/>
      <c r="B33" s="48"/>
      <c r="C33" s="49"/>
      <c r="E33" s="52"/>
      <c r="F33" s="48"/>
      <c r="G33" s="49"/>
      <c r="I33" s="52"/>
      <c r="J33" s="48"/>
      <c r="K33" s="49"/>
      <c r="M33" s="52"/>
      <c r="N33" s="48"/>
      <c r="O33" s="49"/>
      <c r="Q33" s="52"/>
      <c r="R33" s="48"/>
      <c r="S33" s="49"/>
    </row>
    <row r="34" spans="1:19" x14ac:dyDescent="0.25">
      <c r="A34" s="48"/>
      <c r="B34" s="48"/>
      <c r="C34" s="49"/>
      <c r="E34" s="52"/>
      <c r="F34" s="48"/>
      <c r="G34" s="49"/>
      <c r="I34" s="52"/>
      <c r="J34" s="48"/>
      <c r="K34" s="49"/>
      <c r="M34" s="52"/>
      <c r="N34" s="48"/>
      <c r="O34" s="49"/>
      <c r="Q34" s="52"/>
      <c r="R34" s="48"/>
      <c r="S34" s="49"/>
    </row>
    <row r="35" spans="1:19" x14ac:dyDescent="0.25">
      <c r="A35" s="48"/>
      <c r="B35" s="48"/>
      <c r="C35" s="49"/>
      <c r="E35" s="52"/>
      <c r="F35" s="48"/>
      <c r="G35" s="49"/>
      <c r="I35" s="52"/>
      <c r="J35" s="48"/>
      <c r="K35" s="49"/>
      <c r="M35" s="52"/>
      <c r="N35" s="48"/>
      <c r="O35" s="49"/>
      <c r="Q35" s="52"/>
      <c r="R35" s="48"/>
      <c r="S35" s="49"/>
    </row>
    <row r="36" spans="1:19" x14ac:dyDescent="0.25">
      <c r="A36" s="48"/>
      <c r="B36" s="48"/>
      <c r="C36" s="49"/>
      <c r="E36" s="52"/>
      <c r="F36" s="48"/>
      <c r="G36" s="49"/>
      <c r="I36" s="52"/>
      <c r="J36" s="48"/>
      <c r="K36" s="49"/>
      <c r="M36" s="52"/>
      <c r="N36" s="48"/>
      <c r="O36" s="49"/>
      <c r="Q36" s="52"/>
      <c r="R36" s="48"/>
      <c r="S36" s="49"/>
    </row>
    <row r="37" spans="1:19" x14ac:dyDescent="0.25">
      <c r="A37" s="48"/>
      <c r="B37" s="48"/>
      <c r="C37" s="49"/>
      <c r="E37" s="52"/>
      <c r="F37" s="48"/>
      <c r="G37" s="49"/>
      <c r="I37" s="52"/>
      <c r="J37" s="48"/>
      <c r="K37" s="49"/>
      <c r="M37" s="52"/>
      <c r="N37" s="48"/>
      <c r="O37" s="49"/>
      <c r="Q37" s="52"/>
      <c r="R37" s="48"/>
      <c r="S37" s="49"/>
    </row>
    <row r="38" spans="1:19" x14ac:dyDescent="0.25">
      <c r="A38" s="48"/>
      <c r="B38" s="48"/>
      <c r="C38" s="49"/>
      <c r="E38" s="52"/>
      <c r="F38" s="48"/>
      <c r="G38" s="49"/>
      <c r="I38" s="52"/>
      <c r="J38" s="48"/>
      <c r="K38" s="49"/>
      <c r="M38" s="52"/>
      <c r="N38" s="48"/>
      <c r="O38" s="49"/>
      <c r="Q38" s="52"/>
      <c r="R38" s="48"/>
      <c r="S38" s="49"/>
    </row>
    <row r="39" spans="1:19" x14ac:dyDescent="0.25">
      <c r="A39" s="50"/>
      <c r="B39" s="50"/>
      <c r="C39" s="51"/>
      <c r="E39" s="53"/>
      <c r="F39" s="50"/>
      <c r="G39" s="51"/>
      <c r="I39" s="53"/>
      <c r="J39" s="50"/>
      <c r="K39" s="51"/>
      <c r="M39" s="53"/>
      <c r="N39" s="50"/>
      <c r="O39" s="51"/>
      <c r="Q39" s="53"/>
      <c r="R39" s="50"/>
      <c r="S39" s="51"/>
    </row>
  </sheetData>
  <mergeCells count="41">
    <mergeCell ref="A20:C20"/>
    <mergeCell ref="E20:G20"/>
    <mergeCell ref="I20:K20"/>
    <mergeCell ref="M20:O20"/>
    <mergeCell ref="Q20:S20"/>
    <mergeCell ref="A21:C39"/>
    <mergeCell ref="E21:G39"/>
    <mergeCell ref="I21:K39"/>
    <mergeCell ref="M21:O39"/>
    <mergeCell ref="Q21:S39"/>
    <mergeCell ref="A13:C13"/>
    <mergeCell ref="E13:G13"/>
    <mergeCell ref="I13:K13"/>
    <mergeCell ref="M13:O13"/>
    <mergeCell ref="Q13:S13"/>
    <mergeCell ref="A14:C15"/>
    <mergeCell ref="E14:G15"/>
    <mergeCell ref="I14:K15"/>
    <mergeCell ref="M14:O15"/>
    <mergeCell ref="Q14:S15"/>
    <mergeCell ref="A10:C11"/>
    <mergeCell ref="E10:G11"/>
    <mergeCell ref="I10:K11"/>
    <mergeCell ref="M10:O11"/>
    <mergeCell ref="Q10:S11"/>
    <mergeCell ref="A1:T3"/>
    <mergeCell ref="O5:R8"/>
    <mergeCell ref="C5:F7"/>
    <mergeCell ref="C8:F8"/>
    <mergeCell ref="I5:L7"/>
    <mergeCell ref="I8:L8"/>
    <mergeCell ref="A16:C16"/>
    <mergeCell ref="A17:C18"/>
    <mergeCell ref="E16:G16"/>
    <mergeCell ref="E17:G18"/>
    <mergeCell ref="I16:K16"/>
    <mergeCell ref="M16:O16"/>
    <mergeCell ref="Q16:S16"/>
    <mergeCell ref="I17:K18"/>
    <mergeCell ref="Q17:S18"/>
    <mergeCell ref="M17:O18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2026-06-15T17:26:19Z</dcterms:modified>
</cp:coreProperties>
</file>